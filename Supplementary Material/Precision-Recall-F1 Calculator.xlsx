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Supplementary Material/"/>
    </mc:Choice>
  </mc:AlternateContent>
  <xr:revisionPtr revIDLastSave="0" documentId="13_ncr:1_{F477A89D-F3B3-2E4F-A96E-BCB5823002CA}" xr6:coauthVersionLast="47" xr6:coauthVersionMax="47" xr10:uidLastSave="{00000000-0000-0000-0000-000000000000}"/>
  <bookViews>
    <workbookView xWindow="14700" yWindow="760" windowWidth="14700" windowHeight="18360" activeTab="1" xr2:uid="{29BA5AF6-D670-8442-A245-123F22FD2C81}"/>
  </bookViews>
  <sheets>
    <sheet name="40_CollecTF" sheetId="1" r:id="rId1"/>
    <sheet name="70_ME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B3" i="2"/>
  <c r="C2" i="2"/>
  <c r="B2" i="2"/>
  <c r="B2" i="1"/>
  <c r="C3" i="1"/>
  <c r="C2" i="1"/>
  <c r="C4" i="1" s="1"/>
  <c r="B3" i="1"/>
  <c r="C4" i="2" l="1"/>
  <c r="B4" i="2"/>
  <c r="B4" i="1"/>
</calcChain>
</file>

<file path=xl/sharedStrings.xml><?xml version="1.0" encoding="utf-8"?>
<sst xmlns="http://schemas.openxmlformats.org/spreadsheetml/2006/main" count="30" uniqueCount="9">
  <si>
    <t>Precision</t>
  </si>
  <si>
    <t>Recall</t>
  </si>
  <si>
    <t>F1-Score</t>
  </si>
  <si>
    <t>DR</t>
  </si>
  <si>
    <t>IR</t>
  </si>
  <si>
    <t>TP</t>
  </si>
  <si>
    <t>TN</t>
  </si>
  <si>
    <t>FP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</si>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</sst>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A2C2E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2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76200</xdr:rowOff>
    </xdr:from>
    <xdr:to>
      <xdr:col>8</xdr:col>
      <xdr:colOff>241300</xdr:colOff>
      <xdr:row>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979E6-6D23-41F7-9669-B8479EBE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9400"/>
          <a:ext cx="6997700" cy="120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077E-1270-1E4E-B5F1-ED193B177A8F}">
  <dimension ref="A1:F11"/>
  <sheetViews>
    <sheetView zoomScale="150" workbookViewId="0">
      <selection activeCell="F11" sqref="A1:F11"/>
    </sheetView>
  </sheetViews>
  <sheetFormatPr baseColWidth="10" defaultRowHeight="16" x14ac:dyDescent="0.2"/>
  <cols>
    <col min="2" max="3" width="11.6640625" bestFit="1" customWidth="1"/>
  </cols>
  <sheetData>
    <row r="1" spans="1:6" ht="18" thickBot="1" x14ac:dyDescent="0.25">
      <c r="A1" s="1"/>
      <c r="B1" s="2" t="s">
        <v>3</v>
      </c>
      <c r="C1" s="2" t="s">
        <v>4</v>
      </c>
      <c r="E1" s="5" t="s">
        <v>3</v>
      </c>
    </row>
    <row r="2" spans="1:6" ht="18" thickBot="1" x14ac:dyDescent="0.25">
      <c r="A2" s="3" t="s">
        <v>0</v>
      </c>
      <c r="B2" s="6">
        <f xml:space="preserve"> F2/(F2+F4)</f>
        <v>0.90909090909090906</v>
      </c>
      <c r="C2" s="6">
        <f>F8/(F8+F10)</f>
        <v>0.967741935483871</v>
      </c>
      <c r="E2" s="5" t="s">
        <v>5</v>
      </c>
      <c r="F2" s="5">
        <v>20</v>
      </c>
    </row>
    <row r="3" spans="1:6" ht="18" thickBot="1" x14ac:dyDescent="0.25">
      <c r="A3" s="3" t="s">
        <v>1</v>
      </c>
      <c r="B3" s="6">
        <f xml:space="preserve"> F2 / (F2+F5)</f>
        <v>0.76923076923076927</v>
      </c>
      <c r="C3" s="6">
        <f>F8/(F8+F11)</f>
        <v>0.69767441860465118</v>
      </c>
      <c r="E3" s="5" t="s">
        <v>6</v>
      </c>
      <c r="F3" s="5">
        <v>41</v>
      </c>
    </row>
    <row r="4" spans="1:6" ht="18" thickBot="1" x14ac:dyDescent="0.25">
      <c r="A4" s="3" t="s">
        <v>2</v>
      </c>
      <c r="B4" s="6">
        <f>2*(B2*B3) / (B2+B3)</f>
        <v>0.83333333333333326</v>
      </c>
      <c r="C4" s="6">
        <f>2*(C2*C3) / (C2+C3)</f>
        <v>0.81081081081081097</v>
      </c>
      <c r="E4" s="5" t="s">
        <v>7</v>
      </c>
      <c r="F4" s="5">
        <v>2</v>
      </c>
    </row>
    <row r="5" spans="1:6" x14ac:dyDescent="0.2">
      <c r="A5" s="4"/>
      <c r="E5" s="5" t="s">
        <v>8</v>
      </c>
      <c r="F5" s="5">
        <v>6</v>
      </c>
    </row>
    <row r="6" spans="1:6" x14ac:dyDescent="0.2">
      <c r="A6" s="4"/>
    </row>
    <row r="7" spans="1:6" x14ac:dyDescent="0.2">
      <c r="E7" s="5" t="s">
        <v>4</v>
      </c>
    </row>
    <row r="8" spans="1:6" x14ac:dyDescent="0.2">
      <c r="E8" s="5" t="s">
        <v>5</v>
      </c>
      <c r="F8" s="5">
        <v>30</v>
      </c>
    </row>
    <row r="9" spans="1:6" x14ac:dyDescent="0.2">
      <c r="E9" s="5" t="s">
        <v>6</v>
      </c>
      <c r="F9" s="5">
        <v>25</v>
      </c>
    </row>
    <row r="10" spans="1:6" x14ac:dyDescent="0.2">
      <c r="E10" s="5" t="s">
        <v>7</v>
      </c>
      <c r="F10" s="5">
        <v>1</v>
      </c>
    </row>
    <row r="11" spans="1:6" x14ac:dyDescent="0.2">
      <c r="E11" s="5" t="s">
        <v>8</v>
      </c>
      <c r="F11" s="5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F019-34FC-CC4C-B91A-F46A0B97EA45}">
  <dimension ref="A1:F11"/>
  <sheetViews>
    <sheetView tabSelected="1" workbookViewId="0">
      <selection activeCell="A5" sqref="A5"/>
    </sheetView>
  </sheetViews>
  <sheetFormatPr baseColWidth="10" defaultRowHeight="16" x14ac:dyDescent="0.2"/>
  <sheetData>
    <row r="1" spans="1:6" ht="18" thickBot="1" x14ac:dyDescent="0.25">
      <c r="A1" s="1"/>
      <c r="B1" s="2" t="s">
        <v>3</v>
      </c>
      <c r="C1" s="2" t="s">
        <v>4</v>
      </c>
      <c r="E1" s="5" t="s">
        <v>3</v>
      </c>
    </row>
    <row r="2" spans="1:6" ht="18" thickBot="1" x14ac:dyDescent="0.25">
      <c r="A2" s="3" t="s">
        <v>0</v>
      </c>
      <c r="B2" s="6">
        <f xml:space="preserve"> F2/(F2+F4)</f>
        <v>1</v>
      </c>
      <c r="C2" s="6">
        <f>F8/(F8+F10)</f>
        <v>0.7857142857142857</v>
      </c>
      <c r="E2" s="5" t="s">
        <v>5</v>
      </c>
      <c r="F2" s="5">
        <v>3</v>
      </c>
    </row>
    <row r="3" spans="1:6" ht="18" thickBot="1" x14ac:dyDescent="0.25">
      <c r="A3" s="3" t="s">
        <v>1</v>
      </c>
      <c r="B3" s="6">
        <f xml:space="preserve"> F2 / (F2+F5)</f>
        <v>0.6</v>
      </c>
      <c r="C3" s="6">
        <f>F8/(F8+F11)</f>
        <v>1</v>
      </c>
      <c r="E3" s="5" t="s">
        <v>6</v>
      </c>
      <c r="F3" s="5">
        <v>35</v>
      </c>
    </row>
    <row r="4" spans="1:6" ht="18" thickBot="1" x14ac:dyDescent="0.25">
      <c r="A4" s="3" t="s">
        <v>2</v>
      </c>
      <c r="B4" s="6">
        <f>2*(B2*B3) / (B2+B3)</f>
        <v>0.74999999999999989</v>
      </c>
      <c r="C4" s="6">
        <f>2*(C2*C3) / (C2+C3)</f>
        <v>0.88</v>
      </c>
      <c r="E4" s="5" t="s">
        <v>7</v>
      </c>
      <c r="F4" s="5">
        <v>0</v>
      </c>
    </row>
    <row r="5" spans="1:6" x14ac:dyDescent="0.2">
      <c r="A5" s="4"/>
      <c r="E5" s="5" t="s">
        <v>8</v>
      </c>
      <c r="F5" s="5">
        <v>2</v>
      </c>
    </row>
    <row r="6" spans="1:6" x14ac:dyDescent="0.2">
      <c r="A6" s="4"/>
    </row>
    <row r="7" spans="1:6" x14ac:dyDescent="0.2">
      <c r="E7" s="5" t="s">
        <v>4</v>
      </c>
    </row>
    <row r="8" spans="1:6" x14ac:dyDescent="0.2">
      <c r="E8" s="5" t="s">
        <v>5</v>
      </c>
      <c r="F8" s="5">
        <v>11</v>
      </c>
    </row>
    <row r="9" spans="1:6" x14ac:dyDescent="0.2">
      <c r="E9" s="5" t="s">
        <v>6</v>
      </c>
      <c r="F9" s="5">
        <v>26</v>
      </c>
    </row>
    <row r="10" spans="1:6" x14ac:dyDescent="0.2">
      <c r="E10" s="5" t="s">
        <v>7</v>
      </c>
      <c r="F10" s="5">
        <v>3</v>
      </c>
    </row>
    <row r="11" spans="1:6" x14ac:dyDescent="0.2">
      <c r="E11" s="5" t="s">
        <v>8</v>
      </c>
      <c r="F1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40_CollecTF</vt:lpstr>
      <vt:lpstr>70_MEME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Shin</dc:creator>
  <cp:lastModifiedBy>Enoch Shin</cp:lastModifiedBy>
  <dcterms:created xsi:type="dcterms:W3CDTF">2026-06-20T20:20:20Z</dcterms:created>
  <dcterms:modified xsi:type="dcterms:W3CDTF">2026-06-20T21:36:16Z</dcterms:modified>
</cp:coreProperties>
</file>