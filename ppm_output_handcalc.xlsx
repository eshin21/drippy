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noch/Documents/Local Erill Research/drirpy/"/>
    </mc:Choice>
  </mc:AlternateContent>
  <xr:revisionPtr revIDLastSave="0" documentId="13_ncr:1_{438713BA-10E2-7841-86B8-724BCA30CCB8}" xr6:coauthVersionLast="47" xr6:coauthVersionMax="47" xr10:uidLastSave="{00000000-0000-0000-0000-000000000000}"/>
  <bookViews>
    <workbookView xWindow="0" yWindow="760" windowWidth="29400" windowHeight="18360" activeTab="1" xr2:uid="{00000000-000D-0000-FFFF-FFFF00000000}"/>
  </bookViews>
  <sheets>
    <sheet name="PPM" sheetId="1" r:id="rId1"/>
    <sheet name="Information Content" sheetId="2" r:id="rId2"/>
  </sheets>
  <definedNames>
    <definedName name="PPM">PPM!$A$1:$M$5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2" l="1" a="1"/>
  <c r="L13" i="2" s="1"/>
  <c r="K13" i="2" a="1"/>
  <c r="K13" i="2" s="1"/>
  <c r="K12" i="2" a="1"/>
  <c r="K12" i="2" s="1"/>
  <c r="J12" i="2" a="1"/>
  <c r="J12" i="2" s="1"/>
  <c r="J13" i="2" a="1"/>
  <c r="J13" i="2" s="1"/>
  <c r="J11" i="2" a="1"/>
  <c r="J11" i="2" s="1"/>
  <c r="I11" i="2" a="1"/>
  <c r="I11" i="2" s="1"/>
  <c r="I12" i="2" a="1"/>
  <c r="I12" i="2" s="1"/>
  <c r="I13" i="2" a="1"/>
  <c r="I13" i="2" s="1"/>
  <c r="I10" i="2" a="1"/>
  <c r="I10" i="2" s="1"/>
  <c r="H10" i="2" a="1"/>
  <c r="H10" i="2" s="1"/>
  <c r="H11" i="2" a="1"/>
  <c r="H11" i="2" s="1"/>
  <c r="H12" i="2" a="1"/>
  <c r="H12" i="2" s="1"/>
  <c r="H13" i="2" a="1"/>
  <c r="H13" i="2" s="1"/>
  <c r="H9" i="2" a="1"/>
  <c r="H9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8" i="2" a="1"/>
  <c r="G8" i="2" s="1"/>
  <c r="F8" i="2" a="1"/>
  <c r="F8" i="2" s="1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7" i="2" a="1"/>
  <c r="F7" i="2" s="1"/>
  <c r="E7" i="2" a="1"/>
  <c r="E7" i="2" s="1"/>
  <c r="E8" i="2" a="1"/>
  <c r="E8" i="2" s="1"/>
  <c r="E9" i="2" a="1"/>
  <c r="E9" i="2" s="1"/>
  <c r="E10" i="2" a="1"/>
  <c r="E10" i="2" s="1"/>
  <c r="E11" i="2" a="1"/>
  <c r="E11" i="2" s="1"/>
  <c r="E12" i="2" a="1"/>
  <c r="E12" i="2" s="1"/>
  <c r="E13" i="2" a="1"/>
  <c r="E13" i="2" s="1"/>
  <c r="E6" i="2" a="1"/>
  <c r="E6" i="2" s="1"/>
  <c r="D6" i="2" a="1"/>
  <c r="D6" i="2" s="1"/>
  <c r="D7" i="2" a="1"/>
  <c r="D7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5" i="2" a="1"/>
  <c r="D5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4" i="2" a="1"/>
  <c r="C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3" i="2" a="1"/>
  <c r="B3" i="2" s="1"/>
  <c r="D2" i="2"/>
  <c r="B4" i="2" s="1" a="1"/>
  <c r="B4" i="2" s="1"/>
  <c r="Q5" i="2" a="1"/>
  <c r="Q5" i="2" s="1"/>
  <c r="Q4" i="2" a="1"/>
  <c r="Q4" i="2" s="1"/>
  <c r="Q3" i="2" a="1"/>
  <c r="Q3" i="2" s="1"/>
  <c r="Q2" i="2" a="1"/>
  <c r="Q2" i="2" s="1"/>
  <c r="P3" i="2" a="1"/>
  <c r="P3" i="2" s="1"/>
  <c r="P4" i="2" a="1"/>
  <c r="P4" i="2" s="1"/>
  <c r="P5" i="2" a="1"/>
  <c r="P5" i="2" s="1"/>
  <c r="P2" i="2" a="1"/>
  <c r="P2" i="2" s="1"/>
  <c r="R5" i="2" l="1"/>
  <c r="S5" i="2" s="1"/>
  <c r="R3" i="2"/>
  <c r="S3" i="2" s="1"/>
  <c r="R4" i="2"/>
  <c r="S4" i="2" s="1"/>
  <c r="R2" i="2"/>
  <c r="S2" i="2" s="1"/>
  <c r="S6" i="2" l="1"/>
  <c r="T6" i="2" s="1"/>
  <c r="R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<sst xmlns="http://schemas.openxmlformats.org/spreadsheetml/2006/main" count="12" uniqueCount="8">
  <si>
    <t>A</t>
  </si>
  <si>
    <t>C</t>
  </si>
  <si>
    <t>G</t>
  </si>
  <si>
    <t>T</t>
  </si>
  <si>
    <t>Metric: Information Content</t>
  </si>
  <si>
    <t>H_after</t>
  </si>
  <si>
    <t>P_XY</t>
  </si>
  <si>
    <t>Result (H_before - H_after)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</si>
</sst>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top"/>
    </xf>
    <xf numFmtId="0" fontId="2" fillId="3" borderId="0" xfId="0" applyFont="1" applyFill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268654</xdr:colOff>
      <xdr:row>7</xdr:row>
      <xdr:rowOff>0</xdr:rowOff>
    </xdr:from>
    <xdr:to>
      <xdr:col>11</xdr:col>
      <xdr:colOff>608298</xdr:colOff>
      <xdr:row>26</xdr:row>
      <xdr:rowOff>161063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71974A-128B-9D07-2923-105CB1929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54" y="1310705"/>
          <a:ext cx="7772400" cy="37186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zoomScale="156" workbookViewId="0">
      <selection activeCell="B2" sqref="B2:B5"/>
    </sheetView>
  </sheetViews>
  <sheetFormatPr baseColWidth="10" defaultColWidth="8.83203125" defaultRowHeight="15" x14ac:dyDescent="0.2"/>
  <sheetData>
    <row r="1" spans="1:13" x14ac:dyDescent="0.2">
      <c r="B1" s="8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</row>
    <row r="2" spans="1:13" x14ac:dyDescent="0.2">
      <c r="A2" s="1" t="s">
        <v>0</v>
      </c>
      <c r="B2">
        <v>3.125E-2</v>
      </c>
      <c r="C2">
        <v>4.6875E-2</v>
      </c>
      <c r="D2">
        <v>0</v>
      </c>
      <c r="E2">
        <v>1</v>
      </c>
      <c r="F2">
        <v>0.90625</v>
      </c>
      <c r="G2">
        <v>9.375E-2</v>
      </c>
      <c r="H2">
        <v>0</v>
      </c>
      <c r="I2">
        <v>1.5625E-2</v>
      </c>
      <c r="J2">
        <v>1.5625E-2</v>
      </c>
      <c r="K2">
        <v>1.5625E-2</v>
      </c>
      <c r="L2">
        <v>1</v>
      </c>
      <c r="M2">
        <v>0</v>
      </c>
    </row>
    <row r="3" spans="1:13" x14ac:dyDescent="0.2">
      <c r="A3" s="1" t="s">
        <v>1</v>
      </c>
      <c r="B3">
        <v>0.25</v>
      </c>
      <c r="C3">
        <v>1.5625E-2</v>
      </c>
      <c r="D3">
        <v>0.984375</v>
      </c>
      <c r="E3">
        <v>0</v>
      </c>
      <c r="F3">
        <v>0</v>
      </c>
      <c r="G3">
        <v>0.15625</v>
      </c>
      <c r="H3">
        <v>0</v>
      </c>
      <c r="I3">
        <v>0.25</v>
      </c>
      <c r="J3">
        <v>0</v>
      </c>
      <c r="K3">
        <v>0.984375</v>
      </c>
      <c r="L3">
        <v>0</v>
      </c>
      <c r="M3">
        <v>0.234375</v>
      </c>
    </row>
    <row r="4" spans="1:13" x14ac:dyDescent="0.2">
      <c r="A4" s="1" t="s">
        <v>2</v>
      </c>
      <c r="B4">
        <v>0.71875</v>
      </c>
      <c r="C4">
        <v>0</v>
      </c>
      <c r="D4">
        <v>1.5625E-2</v>
      </c>
      <c r="E4">
        <v>0</v>
      </c>
      <c r="F4">
        <v>0</v>
      </c>
      <c r="G4">
        <v>0.59375</v>
      </c>
      <c r="H4">
        <v>0</v>
      </c>
      <c r="I4">
        <v>0.734375</v>
      </c>
      <c r="J4">
        <v>0</v>
      </c>
      <c r="K4">
        <v>0</v>
      </c>
      <c r="L4">
        <v>0</v>
      </c>
      <c r="M4">
        <v>0</v>
      </c>
    </row>
    <row r="5" spans="1:13" x14ac:dyDescent="0.2">
      <c r="A5" s="1" t="s">
        <v>3</v>
      </c>
      <c r="B5">
        <v>0</v>
      </c>
      <c r="C5">
        <v>0.9375</v>
      </c>
      <c r="D5">
        <v>0</v>
      </c>
      <c r="E5">
        <v>0</v>
      </c>
      <c r="F5">
        <v>9.375E-2</v>
      </c>
      <c r="G5">
        <v>0.15625</v>
      </c>
      <c r="H5">
        <v>1</v>
      </c>
      <c r="I5">
        <v>0</v>
      </c>
      <c r="J5">
        <v>0.984375</v>
      </c>
      <c r="K5">
        <v>0</v>
      </c>
      <c r="L5">
        <v>0</v>
      </c>
      <c r="M5">
        <v>0.765625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6B552-D222-D944-AA0C-60A0FCCF6FC4}">
  <dimension ref="A1:T13"/>
  <sheetViews>
    <sheetView tabSelected="1" zoomScale="161" workbookViewId="0">
      <pane xSplit="1" topLeftCell="C1" activePane="topRight" state="frozen"/>
      <selection pane="topRight" activeCell="O8" sqref="O8"/>
    </sheetView>
  </sheetViews>
  <sheetFormatPr baseColWidth="10" defaultRowHeight="15" x14ac:dyDescent="0.2"/>
  <cols>
    <col min="1" max="1" width="10.33203125" customWidth="1"/>
    <col min="2" max="9" width="5.5" customWidth="1"/>
    <col min="10" max="10" width="7.83203125" customWidth="1"/>
    <col min="11" max="11" width="8.1640625" customWidth="1"/>
    <col min="12" max="12" width="7.5" customWidth="1"/>
    <col min="13" max="13" width="6.1640625" customWidth="1"/>
    <col min="15" max="15" width="4.1640625" customWidth="1"/>
    <col min="16" max="16" width="11" customWidth="1"/>
    <col min="17" max="17" width="9.6640625" customWidth="1"/>
    <col min="20" max="20" width="12.1640625" customWidth="1"/>
  </cols>
  <sheetData>
    <row r="1" spans="1:20" ht="48" x14ac:dyDescent="0.2">
      <c r="A1" s="4" t="s">
        <v>4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P1" s="9">
        <v>7</v>
      </c>
      <c r="Q1" s="9">
        <v>2</v>
      </c>
      <c r="R1" s="6" t="s">
        <v>6</v>
      </c>
      <c r="S1" s="6" t="s">
        <v>5</v>
      </c>
      <c r="T1" s="7" t="s">
        <v>7</v>
      </c>
    </row>
    <row r="2" spans="1:20" x14ac:dyDescent="0.2">
      <c r="A2">
        <v>0</v>
      </c>
      <c r="B2" s="2"/>
      <c r="C2" s="5">
        <v>0.38745151999999999</v>
      </c>
      <c r="D2">
        <f xml:space="preserve"> 0.945815271</f>
        <v>0.94581527099999996</v>
      </c>
      <c r="E2">
        <v>0.60167079231986764</v>
      </c>
      <c r="F2">
        <v>0.37505516144940576</v>
      </c>
      <c r="G2">
        <v>0.59676075799999995</v>
      </c>
      <c r="H2">
        <v>0.500655077</v>
      </c>
      <c r="I2">
        <v>1.0382551289999999</v>
      </c>
      <c r="J2">
        <v>0.46412009799999998</v>
      </c>
      <c r="K2">
        <v>0.91279231299999997</v>
      </c>
      <c r="L2">
        <v>0.60167079199999995</v>
      </c>
      <c r="M2" s="10">
        <v>0.34988060900000001</v>
      </c>
      <c r="O2" s="3" t="s">
        <v>0</v>
      </c>
      <c r="P2" cm="1">
        <f t="array" ref="P2">INDEX(PPM!$B$2:$M$5, ROW(A1), MATCH(P$1, PPM!$B$1:$M$1, 0)) + 0.0000000001</f>
        <v>1.5625000100000001E-2</v>
      </c>
      <c r="Q2" cm="1">
        <f t="array" ref="Q2">INDEX(PPM!$B$2:$M$5, ROW(B1), MATCH(Q$1, PPM!$B$1:$M$1, 0)) + 0.0000000001</f>
        <v>1E-10</v>
      </c>
      <c r="R2" s="5">
        <f>AVERAGE(P2,Q2)</f>
        <v>7.8125001000000013E-3</v>
      </c>
      <c r="S2">
        <f xml:space="preserve"> R2*LOG(R2, 2)</f>
        <v>-5.4687500555730503E-2</v>
      </c>
    </row>
    <row r="3" spans="1:20" x14ac:dyDescent="0.2">
      <c r="A3">
        <v>1</v>
      </c>
      <c r="B3" s="5" cm="1">
        <f t="array" ref="B3">INDEX($B$2:$M$13, COLUMN(A2), ROW(A2))</f>
        <v>0.38745151999999999</v>
      </c>
      <c r="C3" s="2"/>
      <c r="D3">
        <v>0.80600252400000005</v>
      </c>
      <c r="E3">
        <v>0.944073524</v>
      </c>
      <c r="F3">
        <v>0.94300772600000005</v>
      </c>
      <c r="G3" s="5">
        <v>0.43011038600000001</v>
      </c>
      <c r="H3">
        <v>1.7740252299999999</v>
      </c>
      <c r="I3">
        <v>0.41379671899999998</v>
      </c>
      <c r="J3">
        <v>1.7338225279999999</v>
      </c>
      <c r="K3">
        <v>0.831354963</v>
      </c>
      <c r="L3">
        <v>0.944073524</v>
      </c>
      <c r="M3">
        <v>1.300679519</v>
      </c>
      <c r="O3" s="3" t="s">
        <v>1</v>
      </c>
      <c r="P3" cm="1">
        <f t="array" ref="P3">INDEX(PPM!$B$2:$M$5, ROW(A2), MATCH(P$1, PPM!$B$1:$M$1, 0)) + 0.0000000001</f>
        <v>0.25000000010000001</v>
      </c>
      <c r="Q3" cm="1">
        <f t="array" ref="Q3">INDEX(PPM!$B$2:$M$5, ROW(B2), MATCH(Q$1, PPM!$B$1:$M$1, 0)) + 0.0000000001</f>
        <v>0.98437500010000001</v>
      </c>
      <c r="R3" s="5">
        <f t="shared" ref="R3:R5" si="0">AVERAGE(P3,Q3)</f>
        <v>0.61718750010000001</v>
      </c>
      <c r="S3">
        <f t="shared" ref="S3:S5" si="1" xml:space="preserve"> R3*LOG(R3, 2)</f>
        <v>-0.42969781940979673</v>
      </c>
    </row>
    <row r="4" spans="1:20" x14ac:dyDescent="0.2">
      <c r="A4">
        <v>2</v>
      </c>
      <c r="B4" s="5" cm="1">
        <f t="array" ref="B4">INDEX($B$2:$M$13, COLUMN(A3), ROW(A3))</f>
        <v>0.94581527099999996</v>
      </c>
      <c r="C4" s="5" cm="1">
        <f t="array" ref="C4">INDEX($B$2:$M$13, COLUMN(B3), ROW(B3))</f>
        <v>0.80600252400000005</v>
      </c>
      <c r="D4" s="2"/>
      <c r="E4">
        <v>0.94194245855622349</v>
      </c>
      <c r="F4">
        <v>0.71751021720520058</v>
      </c>
      <c r="G4">
        <v>0.52122605644552022</v>
      </c>
      <c r="H4">
        <v>0.94194245855622349</v>
      </c>
      <c r="I4">
        <v>0.984975614485744</v>
      </c>
      <c r="J4">
        <v>0.88388492366776417</v>
      </c>
      <c r="K4">
        <v>1.8682599204038386</v>
      </c>
      <c r="L4">
        <v>0.94194245855622349</v>
      </c>
      <c r="M4">
        <v>0.97954808599999998</v>
      </c>
      <c r="O4" s="3" t="s">
        <v>3</v>
      </c>
      <c r="P4" cm="1">
        <f t="array" ref="P4">INDEX(PPM!$B$2:$M$5, ROW(A3), MATCH(P$1, PPM!$B$1:$M$1, 0)) + 0.0000000001</f>
        <v>0.73437500010000001</v>
      </c>
      <c r="Q4" cm="1">
        <f t="array" ref="Q4">INDEX(PPM!$B$2:$M$5, ROW(B3), MATCH(Q$1, PPM!$B$1:$M$1, 0)) + 0.0000000001</f>
        <v>1.5625000100000001E-2</v>
      </c>
      <c r="R4" s="5">
        <f t="shared" si="0"/>
        <v>0.37500000010000001</v>
      </c>
      <c r="S4">
        <f t="shared" si="1"/>
        <v>-0.53063906222680068</v>
      </c>
    </row>
    <row r="5" spans="1:20" x14ac:dyDescent="0.2">
      <c r="A5">
        <v>3</v>
      </c>
      <c r="B5" s="5" cm="1">
        <f t="array" ref="B5">INDEX($B$2:$M$13, COLUMN(A4), ROW(A4))</f>
        <v>0.60167079231986764</v>
      </c>
      <c r="C5" s="5" cm="1">
        <f t="array" ref="C5">INDEX($B$2:$M$13, COLUMN(B4), ROW(B4))</f>
        <v>0.944073524</v>
      </c>
      <c r="D5" s="5" cm="1">
        <f t="array" ref="D5">INDEX($B$2:$M$13, COLUMN(C4), ROW(C4))</f>
        <v>0.94194245855622349</v>
      </c>
      <c r="E5" s="2"/>
      <c r="F5">
        <v>1.7270291352821832</v>
      </c>
      <c r="G5">
        <v>0.42898139485067821</v>
      </c>
      <c r="H5">
        <v>0.99999999344468282</v>
      </c>
      <c r="I5">
        <v>0.59780924559747062</v>
      </c>
      <c r="J5">
        <v>1.000176111</v>
      </c>
      <c r="K5">
        <v>1.0001761108457747</v>
      </c>
      <c r="L5">
        <v>1.9999999901784853</v>
      </c>
      <c r="M5">
        <v>0.60721985043626692</v>
      </c>
      <c r="O5" s="3" t="s">
        <v>2</v>
      </c>
      <c r="P5" cm="1">
        <f t="array" ref="P5">INDEX(PPM!$B$2:$M$5, ROW(A4), MATCH(P$1, PPM!$B$1:$M$1, 0)) + 0.0000000001</f>
        <v>1E-10</v>
      </c>
      <c r="Q5" cm="1">
        <f t="array" ref="Q5">INDEX(PPM!$B$2:$M$5, ROW(B4), MATCH(Q$1, PPM!$B$1:$M$1, 0)) + 0.0000000001</f>
        <v>1E-10</v>
      </c>
      <c r="R5" s="5">
        <f t="shared" si="0"/>
        <v>1E-10</v>
      </c>
      <c r="S5">
        <f t="shared" si="1"/>
        <v>-3.3219280948873626E-9</v>
      </c>
    </row>
    <row r="6" spans="1:20" x14ac:dyDescent="0.2">
      <c r="A6">
        <v>4</v>
      </c>
      <c r="B6" s="5" cm="1">
        <f t="array" ref="B6">INDEX($B$2:$M$13, COLUMN(A5), ROW(A5))</f>
        <v>0.37505516144940576</v>
      </c>
      <c r="C6" s="5" cm="1">
        <f t="array" ref="C6">INDEX($B$2:$M$13, COLUMN(B5), ROW(B5))</f>
        <v>0.94300772600000005</v>
      </c>
      <c r="D6" s="5" cm="1">
        <f t="array" ref="D6">INDEX($B$2:$M$13, COLUMN(C5), ROW(C5))</f>
        <v>0.71751021720520058</v>
      </c>
      <c r="E6" s="5" cm="1">
        <f t="array" ref="E6">INDEX($B$2:$M$13, COLUMN(D5), ROW(D5))</f>
        <v>1.7270291352821832</v>
      </c>
      <c r="F6" s="2"/>
      <c r="G6">
        <v>0.31750411260070321</v>
      </c>
      <c r="H6">
        <v>1.006349282</v>
      </c>
      <c r="I6">
        <v>0.37227649099999999</v>
      </c>
      <c r="J6">
        <v>1.0044072390000001</v>
      </c>
      <c r="K6">
        <v>0.77464335699999998</v>
      </c>
      <c r="L6">
        <v>1.727029135</v>
      </c>
      <c r="M6">
        <v>0.59641437900000005</v>
      </c>
      <c r="R6">
        <f xml:space="preserve"> SUM(R2:R5)</f>
        <v>1.0000000004</v>
      </c>
      <c r="S6" s="3">
        <f>-SUM(S2:S5)</f>
        <v>1.015024385514256</v>
      </c>
      <c r="T6">
        <f xml:space="preserve"> 2 - S6</f>
        <v>0.984975614485744</v>
      </c>
    </row>
    <row r="7" spans="1:20" x14ac:dyDescent="0.2">
      <c r="A7">
        <v>5</v>
      </c>
      <c r="B7" s="5" cm="1">
        <f t="array" ref="B7">INDEX($B$2:$M$13, COLUMN(A6), ROW(A6))</f>
        <v>0.59676075799999995</v>
      </c>
      <c r="C7" s="5" cm="1">
        <f t="array" ref="C7">INDEX($B$2:$M$13, COLUMN(B6), ROW(B6))</f>
        <v>0.43011038600000001</v>
      </c>
      <c r="D7" s="5" cm="1">
        <f t="array" ref="D7">INDEX($B$2:$M$13, COLUMN(C6), ROW(C6))</f>
        <v>0.52122605644552022</v>
      </c>
      <c r="E7" s="5" cm="1">
        <f t="array" ref="E7">INDEX($B$2:$M$13, COLUMN(D6), ROW(D6))</f>
        <v>0.42898139485067821</v>
      </c>
      <c r="F7" s="5" cm="1">
        <f t="array" ref="F7">INDEX($B$2:$M$13, COLUMN(E6), ROW(E6))</f>
        <v>0.31750411260070321</v>
      </c>
      <c r="G7" s="2"/>
      <c r="H7">
        <v>0.52851445699999999</v>
      </c>
      <c r="I7">
        <v>0.62406583999999998</v>
      </c>
      <c r="J7">
        <v>0.50116565400000002</v>
      </c>
      <c r="K7">
        <v>0.50116565400000002</v>
      </c>
      <c r="L7">
        <v>0.42898139499999999</v>
      </c>
      <c r="M7">
        <v>0.29768254</v>
      </c>
    </row>
    <row r="8" spans="1:20" x14ac:dyDescent="0.2">
      <c r="A8">
        <v>6</v>
      </c>
      <c r="B8" s="5" cm="1">
        <f t="array" ref="B8">INDEX($B$2:$M$13, COLUMN(A7), ROW(A7))</f>
        <v>0.500655077</v>
      </c>
      <c r="C8" s="5" cm="1">
        <f t="array" ref="C8">INDEX($B$2:$M$13, COLUMN(B7), ROW(B7))</f>
        <v>1.7740252299999999</v>
      </c>
      <c r="D8" s="5" cm="1">
        <f t="array" ref="D8">INDEX($B$2:$M$13, COLUMN(C7), ROW(C7))</f>
        <v>0.94194245855622349</v>
      </c>
      <c r="E8" s="5" cm="1">
        <f t="array" ref="E8">INDEX($B$2:$M$13, COLUMN(D7), ROW(D7))</f>
        <v>0.99999999344468282</v>
      </c>
      <c r="F8" s="5" cm="1">
        <f t="array" ref="F8">INDEX($B$2:$M$13, COLUMN(E7), ROW(E7))</f>
        <v>1.006349282</v>
      </c>
      <c r="G8" s="5" cm="1">
        <f t="array" ref="G8">INDEX($B$2:$M$13, COLUMN(F7), ROW(F7))</f>
        <v>0.52851445699999999</v>
      </c>
      <c r="H8" s="2"/>
      <c r="I8">
        <v>0.53957559300000002</v>
      </c>
      <c r="J8">
        <v>1.9340855809999999</v>
      </c>
      <c r="K8">
        <v>0.94194245899999995</v>
      </c>
      <c r="L8">
        <v>0.99999999299999998</v>
      </c>
      <c r="M8">
        <v>1.4787779750000001</v>
      </c>
    </row>
    <row r="9" spans="1:20" x14ac:dyDescent="0.2">
      <c r="A9">
        <v>7</v>
      </c>
      <c r="B9" s="5" cm="1">
        <f t="array" ref="B9">INDEX($B$2:$M$13, COLUMN(A8), ROW(A8))</f>
        <v>1.0382551289999999</v>
      </c>
      <c r="C9" s="5" cm="1">
        <f t="array" ref="C9">INDEX($B$2:$M$13, COLUMN(B8), ROW(B8))</f>
        <v>0.41379671899999998</v>
      </c>
      <c r="D9" s="5" cm="1">
        <f t="array" ref="D9">INDEX($B$2:$M$13, COLUMN(C8), ROW(C8))</f>
        <v>0.984975614485744</v>
      </c>
      <c r="E9" s="5" cm="1">
        <f t="array" ref="E9">INDEX($B$2:$M$13, COLUMN(D8), ROW(D8))</f>
        <v>0.59780924559747062</v>
      </c>
      <c r="F9" s="5" cm="1">
        <f t="array" ref="F9">INDEX($B$2:$M$13, COLUMN(E8), ROW(E8))</f>
        <v>0.37227649099999999</v>
      </c>
      <c r="G9" s="5" cm="1">
        <f t="array" ref="G9">INDEX($B$2:$M$13, COLUMN(F8), ROW(F8))</f>
        <v>0.62406583999999998</v>
      </c>
      <c r="H9" s="5" cm="1">
        <f t="array" ref="H9">INDEX($B$2:$M$13, COLUMN(G8), ROW(G8))</f>
        <v>0.53957559300000002</v>
      </c>
      <c r="I9" s="2"/>
      <c r="J9">
        <v>0.49714305600000003</v>
      </c>
      <c r="K9">
        <v>0.94581527099999996</v>
      </c>
      <c r="L9">
        <v>0.59780924599999996</v>
      </c>
      <c r="M9">
        <v>0.388801124</v>
      </c>
    </row>
    <row r="10" spans="1:20" x14ac:dyDescent="0.2">
      <c r="A10">
        <v>8</v>
      </c>
      <c r="B10" s="5" cm="1">
        <f t="array" ref="B10">INDEX($B$2:$M$13, COLUMN(A9), ROW(A9))</f>
        <v>0.46412009799999998</v>
      </c>
      <c r="C10" s="5" cm="1">
        <f t="array" ref="C10">INDEX($B$2:$M$13, COLUMN(B9), ROW(B9))</f>
        <v>1.7338225279999999</v>
      </c>
      <c r="D10" s="5" cm="1">
        <f t="array" ref="D10">INDEX($B$2:$M$13, COLUMN(C9), ROW(C9))</f>
        <v>0.88388492366776417</v>
      </c>
      <c r="E10" s="5" cm="1">
        <f t="array" ref="E10">INDEX($B$2:$M$13, COLUMN(D9), ROW(D9))</f>
        <v>1.000176111</v>
      </c>
      <c r="F10" s="5" cm="1">
        <f t="array" ref="F10">INDEX($B$2:$M$13, COLUMN(E9), ROW(E9))</f>
        <v>1.0044072390000001</v>
      </c>
      <c r="G10" s="5" cm="1">
        <f t="array" ref="G10">INDEX($B$2:$M$13, COLUMN(F9), ROW(F9))</f>
        <v>0.50116565400000002</v>
      </c>
      <c r="H10" s="5" cm="1">
        <f t="array" ref="H10">INDEX($B$2:$M$13, COLUMN(G9), ROW(G9))</f>
        <v>1.9340855809999999</v>
      </c>
      <c r="I10" s="5" cm="1">
        <f t="array" ref="I10">INDEX($B$2:$M$13, COLUMN(H9), ROW(H9))</f>
        <v>0.49714305600000003</v>
      </c>
      <c r="J10" s="2"/>
      <c r="K10" s="5">
        <v>0.89950992100000005</v>
      </c>
      <c r="L10">
        <v>1.000176111</v>
      </c>
      <c r="M10">
        <v>1.414274295</v>
      </c>
    </row>
    <row r="11" spans="1:20" x14ac:dyDescent="0.2">
      <c r="A11">
        <v>9</v>
      </c>
      <c r="B11" s="5" cm="1">
        <f t="array" ref="B11">INDEX($B$2:$M$13, COLUMN(A10), ROW(A10))</f>
        <v>0.91279231299999997</v>
      </c>
      <c r="C11" s="5" cm="1">
        <f t="array" ref="C11">INDEX($B$2:$M$13, COLUMN(B10), ROW(B10))</f>
        <v>0.831354963</v>
      </c>
      <c r="D11" s="5" cm="1">
        <f t="array" ref="D11">INDEX($B$2:$M$13, COLUMN(C10), ROW(C10))</f>
        <v>1.8682599204038386</v>
      </c>
      <c r="E11" s="5" cm="1">
        <f t="array" ref="E11">INDEX($B$2:$M$13, COLUMN(D10), ROW(D10))</f>
        <v>1.0001761108457747</v>
      </c>
      <c r="F11" s="5" cm="1">
        <f t="array" ref="F11">INDEX($B$2:$M$13, COLUMN(E10), ROW(E10))</f>
        <v>0.77464335699999998</v>
      </c>
      <c r="G11" s="5" cm="1">
        <f t="array" ref="G11">INDEX($B$2:$M$13, COLUMN(F10), ROW(F10))</f>
        <v>0.50116565400000002</v>
      </c>
      <c r="H11" s="5" cm="1">
        <f t="array" ref="H11">INDEX($B$2:$M$13, COLUMN(G10), ROW(G10))</f>
        <v>0.94194245899999995</v>
      </c>
      <c r="I11" s="5" cm="1">
        <f t="array" ref="I11">INDEX($B$2:$M$13, COLUMN(H10), ROW(H10))</f>
        <v>0.94581527099999996</v>
      </c>
      <c r="J11" s="5" cm="1">
        <f t="array" ref="J11">INDEX($B$2:$M$13, COLUMN(I10), ROW(I10))</f>
        <v>0.89950992100000005</v>
      </c>
      <c r="K11" s="2"/>
      <c r="L11">
        <v>1.000176111</v>
      </c>
      <c r="M11">
        <v>0.97954808599999998</v>
      </c>
    </row>
    <row r="12" spans="1:20" x14ac:dyDescent="0.2">
      <c r="A12">
        <v>10</v>
      </c>
      <c r="B12" s="5" cm="1">
        <f t="array" ref="B12">INDEX($B$2:$M$13, COLUMN(A11), ROW(A11))</f>
        <v>0.60167079199999995</v>
      </c>
      <c r="C12" s="5" cm="1">
        <f t="array" ref="C12">INDEX($B$2:$M$13, COLUMN(B11), ROW(B11))</f>
        <v>0.944073524</v>
      </c>
      <c r="D12" s="5" cm="1">
        <f t="array" ref="D12">INDEX($B$2:$M$13, COLUMN(C11), ROW(C11))</f>
        <v>0.94194245855622349</v>
      </c>
      <c r="E12" s="5" cm="1">
        <f t="array" ref="E12">INDEX($B$2:$M$13, COLUMN(D11), ROW(D11))</f>
        <v>1.9999999901784853</v>
      </c>
      <c r="F12" s="5" cm="1">
        <f t="array" ref="F12">INDEX($B$2:$M$13, COLUMN(E11), ROW(E11))</f>
        <v>1.727029135</v>
      </c>
      <c r="G12" s="5" cm="1">
        <f t="array" ref="G12">INDEX($B$2:$M$13, COLUMN(F11), ROW(F11))</f>
        <v>0.42898139499999999</v>
      </c>
      <c r="H12" s="5" cm="1">
        <f t="array" ref="H12">INDEX($B$2:$M$13, COLUMN(G11), ROW(G11))</f>
        <v>0.99999999299999998</v>
      </c>
      <c r="I12" s="5" cm="1">
        <f t="array" ref="I12">INDEX($B$2:$M$13, COLUMN(H11), ROW(H11))</f>
        <v>0.59780924599999996</v>
      </c>
      <c r="J12" s="5" cm="1">
        <f t="array" ref="J12">INDEX($B$2:$M$13, COLUMN(I11), ROW(I11))</f>
        <v>1.000176111</v>
      </c>
      <c r="K12" s="5" cm="1">
        <f t="array" ref="K12">INDEX($B$2:$M$13, COLUMN(J11), ROW(J11))</f>
        <v>1.000176111</v>
      </c>
      <c r="L12" s="2"/>
      <c r="M12">
        <v>0.60721985000000001</v>
      </c>
    </row>
    <row r="13" spans="1:20" x14ac:dyDescent="0.2">
      <c r="A13">
        <v>11</v>
      </c>
      <c r="B13" s="5" cm="1">
        <f t="array" ref="B13">INDEX($B$2:$M$13, COLUMN(A12), ROW(A12))</f>
        <v>0.34988060900000001</v>
      </c>
      <c r="C13" s="5" cm="1">
        <f t="array" ref="C13">INDEX($B$2:$M$13, COLUMN(B12), ROW(B12))</f>
        <v>1.300679519</v>
      </c>
      <c r="D13" s="5" cm="1">
        <f t="array" ref="D13">INDEX($B$2:$M$13, COLUMN(C12), ROW(C12))</f>
        <v>0.97954808599999998</v>
      </c>
      <c r="E13" s="5" cm="1">
        <f t="array" ref="E13">INDEX($B$2:$M$13, COLUMN(D12), ROW(D12))</f>
        <v>0.60721985043626692</v>
      </c>
      <c r="F13" s="5" cm="1">
        <f t="array" ref="F13">INDEX($B$2:$M$13, COLUMN(E12), ROW(E12))</f>
        <v>0.59641437900000005</v>
      </c>
      <c r="G13" s="5" cm="1">
        <f t="array" ref="G13">INDEX($B$2:$M$13, COLUMN(F12), ROW(F12))</f>
        <v>0.29768254</v>
      </c>
      <c r="H13" s="5" cm="1">
        <f t="array" ref="H13">INDEX($B$2:$M$13, COLUMN(G12), ROW(G12))</f>
        <v>1.4787779750000001</v>
      </c>
      <c r="I13" s="5" cm="1">
        <f t="array" ref="I13">INDEX($B$2:$M$13, COLUMN(H12), ROW(H12))</f>
        <v>0.388801124</v>
      </c>
      <c r="J13" s="5" cm="1">
        <f t="array" ref="J13">INDEX($B$2:$M$13, COLUMN(I12), ROW(I12))</f>
        <v>1.414274295</v>
      </c>
      <c r="K13" s="5" cm="1">
        <f t="array" ref="K13">INDEX($B$2:$M$13, COLUMN(J12), ROW(J12))</f>
        <v>0.97954808599999998</v>
      </c>
      <c r="L13" s="5" cm="1">
        <f t="array" ref="L13">INDEX($B$2:$M$13, COLUMN(K12), ROW(K12))</f>
        <v>0.60721985000000001</v>
      </c>
      <c r="M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PPM</vt:lpstr>
      <vt:lpstr>Information Content</vt:lpstr>
      <vt:lpstr>PPM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Enoch Shin</cp:lastModifiedBy>
  <dcterms:created xsi:type="dcterms:W3CDTF">2026-03-07T15:33:33Z</dcterms:created>
  <dcterms:modified xsi:type="dcterms:W3CDTF">2026-03-08T19:17:25Z</dcterms:modified>
</cp:coreProperties>
</file>