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rpy/"/>
    </mc:Choice>
  </mc:AlternateContent>
  <xr:revisionPtr revIDLastSave="0" documentId="13_ncr:1_{5AE05A15-5230-4047-9326-79C288A585AA}" xr6:coauthVersionLast="47" xr6:coauthVersionMax="47" xr10:uidLastSave="{00000000-0000-0000-0000-000000000000}"/>
  <bookViews>
    <workbookView xWindow="0" yWindow="760" windowWidth="29400" windowHeight="18360" activeTab="2" xr2:uid="{BF39720B-7314-BE4F-87DC-079655431D8B}"/>
    <workbookView xWindow="0" yWindow="760" windowWidth="29400" windowHeight="18360" activeTab="3" xr2:uid="{4F083981-888D-6D4A-9A91-0CE6B4D6ABC5}"/>
  </bookViews>
  <sheets>
    <sheet name="PPM" sheetId="1" r:id="rId1"/>
    <sheet name="KL" sheetId="9" r:id="rId2"/>
    <sheet name="Information Content" sheetId="2" r:id="rId3"/>
    <sheet name="Pearson Correlation" sheetId="8" r:id="rId4"/>
    <sheet name="JSD" sheetId="10" r:id="rId5"/>
  </sheets>
  <definedNames>
    <definedName name="PPM">PPM!$A$1:$M$5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0" l="1" a="1"/>
  <c r="P2" i="10" s="1"/>
  <c r="P3" i="10" a="1"/>
  <c r="P3" i="10" s="1"/>
  <c r="P4" i="10" a="1"/>
  <c r="P4" i="10" s="1"/>
  <c r="P5" i="10" a="1"/>
  <c r="P5" i="10" s="1"/>
  <c r="Q2" i="10" a="1"/>
  <c r="Q2" i="10" s="1"/>
  <c r="Q3" i="10" a="1"/>
  <c r="Q3" i="10" s="1"/>
  <c r="Q4" i="10" a="1"/>
  <c r="Q4" i="10" s="1"/>
  <c r="Q5" i="10" a="1"/>
  <c r="Q5" i="10" s="1"/>
  <c r="P2" i="9" a="1"/>
  <c r="P2" i="9" s="1"/>
  <c r="P4" i="9" a="1"/>
  <c r="P4" i="9" s="1"/>
  <c r="P5" i="9" a="1"/>
  <c r="P5" i="9" s="1"/>
  <c r="Q2" i="9" a="1"/>
  <c r="Q2" i="9" s="1"/>
  <c r="Q3" i="9" a="1"/>
  <c r="Q3" i="9" s="1"/>
  <c r="Q4" i="9" a="1"/>
  <c r="Q4" i="9" s="1"/>
  <c r="Q5" i="9" a="1"/>
  <c r="Q5" i="9"/>
  <c r="P3" i="8" a="1"/>
  <c r="P3" i="8" s="1"/>
  <c r="P4" i="8" a="1"/>
  <c r="P4" i="8" s="1"/>
  <c r="P5" i="8" a="1"/>
  <c r="P5" i="8" s="1"/>
  <c r="P2" i="8" a="1"/>
  <c r="P2" i="8" s="1"/>
  <c r="Q2" i="8" a="1"/>
  <c r="Q2" i="8" s="1"/>
  <c r="Q3" i="8" a="1"/>
  <c r="Q3" i="8" s="1"/>
  <c r="Q5" i="8" a="1"/>
  <c r="Q5" i="8" s="1"/>
  <c r="Q4" i="8" a="1"/>
  <c r="Q4" i="8" s="1"/>
  <c r="L13" i="10" a="1"/>
  <c r="L13" i="10" s="1"/>
  <c r="K13" i="10" a="1"/>
  <c r="K13" i="10" s="1"/>
  <c r="J13" i="10" a="1"/>
  <c r="J13" i="10" s="1"/>
  <c r="I13" i="10" a="1"/>
  <c r="I13" i="10" s="1"/>
  <c r="H13" i="10" a="1"/>
  <c r="H13" i="10" s="1"/>
  <c r="G13" i="10" a="1"/>
  <c r="G13" i="10" s="1"/>
  <c r="F13" i="10" a="1"/>
  <c r="F13" i="10" s="1"/>
  <c r="E13" i="10" a="1"/>
  <c r="E13" i="10" s="1"/>
  <c r="D13" i="10" a="1"/>
  <c r="D13" i="10" s="1"/>
  <c r="C13" i="10" a="1"/>
  <c r="C13" i="10" s="1"/>
  <c r="B13" i="10" a="1"/>
  <c r="B13" i="10" s="1"/>
  <c r="K12" i="10" a="1"/>
  <c r="K12" i="10" s="1"/>
  <c r="J12" i="10" a="1"/>
  <c r="J12" i="10" s="1"/>
  <c r="I12" i="10" a="1"/>
  <c r="I12" i="10" s="1"/>
  <c r="H12" i="10" a="1"/>
  <c r="H12" i="10" s="1"/>
  <c r="G12" i="10" a="1"/>
  <c r="G12" i="10" s="1"/>
  <c r="F12" i="10" a="1"/>
  <c r="F12" i="10" s="1"/>
  <c r="E12" i="10" a="1"/>
  <c r="E12" i="10" s="1"/>
  <c r="D12" i="10" a="1"/>
  <c r="D12" i="10" s="1"/>
  <c r="C12" i="10" a="1"/>
  <c r="C12" i="10" s="1"/>
  <c r="B12" i="10" a="1"/>
  <c r="B12" i="10" s="1"/>
  <c r="J11" i="10" a="1"/>
  <c r="J11" i="10" s="1"/>
  <c r="I11" i="10" a="1"/>
  <c r="I11" i="10" s="1"/>
  <c r="H11" i="10" a="1"/>
  <c r="H11" i="10" s="1"/>
  <c r="G11" i="10" a="1"/>
  <c r="G11" i="10" s="1"/>
  <c r="F11" i="10" a="1"/>
  <c r="F11" i="10" s="1"/>
  <c r="E11" i="10" a="1"/>
  <c r="E11" i="10" s="1"/>
  <c r="D11" i="10" a="1"/>
  <c r="D11" i="10" s="1"/>
  <c r="C11" i="10" a="1"/>
  <c r="C11" i="10" s="1"/>
  <c r="B11" i="10" a="1"/>
  <c r="B11" i="10" s="1"/>
  <c r="I10" i="10" a="1"/>
  <c r="I10" i="10" s="1"/>
  <c r="H10" i="10" a="1"/>
  <c r="H10" i="10" s="1"/>
  <c r="G10" i="10" a="1"/>
  <c r="G10" i="10" s="1"/>
  <c r="F10" i="10" a="1"/>
  <c r="F10" i="10" s="1"/>
  <c r="E10" i="10" a="1"/>
  <c r="E10" i="10" s="1"/>
  <c r="D10" i="10" a="1"/>
  <c r="D10" i="10" s="1"/>
  <c r="C10" i="10" a="1"/>
  <c r="C10" i="10" s="1"/>
  <c r="B10" i="10" a="1"/>
  <c r="B10" i="10" s="1"/>
  <c r="H9" i="10" a="1"/>
  <c r="H9" i="10" s="1"/>
  <c r="G9" i="10" a="1"/>
  <c r="G9" i="10" s="1"/>
  <c r="F9" i="10" a="1"/>
  <c r="F9" i="10" s="1"/>
  <c r="E9" i="10" a="1"/>
  <c r="E9" i="10" s="1"/>
  <c r="D9" i="10" a="1"/>
  <c r="D9" i="10" s="1"/>
  <c r="C9" i="10" a="1"/>
  <c r="C9" i="10" s="1"/>
  <c r="B9" i="10" a="1"/>
  <c r="B9" i="10" s="1"/>
  <c r="G8" i="10" a="1"/>
  <c r="G8" i="10" s="1"/>
  <c r="F8" i="10" a="1"/>
  <c r="F8" i="10" s="1"/>
  <c r="E8" i="10" a="1"/>
  <c r="E8" i="10" s="1"/>
  <c r="D8" i="10" a="1"/>
  <c r="D8" i="10" s="1"/>
  <c r="C8" i="10" a="1"/>
  <c r="C8" i="10" s="1"/>
  <c r="B8" i="10" a="1"/>
  <c r="B8" i="10" s="1"/>
  <c r="F7" i="10" a="1"/>
  <c r="F7" i="10" s="1"/>
  <c r="E7" i="10" a="1"/>
  <c r="E7" i="10" s="1"/>
  <c r="D7" i="10" a="1"/>
  <c r="D7" i="10" s="1"/>
  <c r="C7" i="10" a="1"/>
  <c r="C7" i="10" s="1"/>
  <c r="B7" i="10" a="1"/>
  <c r="B7" i="10" s="1"/>
  <c r="E6" i="10" a="1"/>
  <c r="E6" i="10" s="1"/>
  <c r="D6" i="10" a="1"/>
  <c r="D6" i="10" s="1"/>
  <c r="C6" i="10" a="1"/>
  <c r="C6" i="10" s="1"/>
  <c r="B6" i="10" a="1"/>
  <c r="B6" i="10" s="1"/>
  <c r="D5" i="10" a="1"/>
  <c r="D5" i="10" s="1"/>
  <c r="C5" i="10" a="1"/>
  <c r="C5" i="10" s="1"/>
  <c r="B5" i="10" a="1"/>
  <c r="B5" i="10" s="1"/>
  <c r="C4" i="10" a="1"/>
  <c r="C4" i="10" s="1"/>
  <c r="B4" i="10" a="1"/>
  <c r="B4" i="10" s="1"/>
  <c r="B3" i="10" a="1"/>
  <c r="B3" i="10" s="1"/>
  <c r="P3" i="9" a="1"/>
  <c r="P3" i="9" s="1"/>
  <c r="L13" i="8" a="1"/>
  <c r="L13" i="8" s="1"/>
  <c r="K13" i="8" a="1"/>
  <c r="K13" i="8" s="1"/>
  <c r="J13" i="8" a="1"/>
  <c r="J13" i="8" s="1"/>
  <c r="I13" i="8" a="1"/>
  <c r="I13" i="8" s="1"/>
  <c r="H13" i="8" a="1"/>
  <c r="H13" i="8" s="1"/>
  <c r="G13" i="8" a="1"/>
  <c r="G13" i="8" s="1"/>
  <c r="F13" i="8" a="1"/>
  <c r="F13" i="8" s="1"/>
  <c r="E13" i="8" a="1"/>
  <c r="E13" i="8" s="1"/>
  <c r="D13" i="8" a="1"/>
  <c r="D13" i="8" s="1"/>
  <c r="C13" i="8" a="1"/>
  <c r="C13" i="8" s="1"/>
  <c r="B13" i="8" a="1"/>
  <c r="B13" i="8" s="1"/>
  <c r="K12" i="8" a="1"/>
  <c r="K12" i="8" s="1"/>
  <c r="J12" i="8" a="1"/>
  <c r="J12" i="8" s="1"/>
  <c r="I12" i="8" a="1"/>
  <c r="I12" i="8" s="1"/>
  <c r="H12" i="8" a="1"/>
  <c r="H12" i="8" s="1"/>
  <c r="G12" i="8" a="1"/>
  <c r="G12" i="8" s="1"/>
  <c r="F12" i="8" a="1"/>
  <c r="F12" i="8" s="1"/>
  <c r="E12" i="8" a="1"/>
  <c r="E12" i="8" s="1"/>
  <c r="D12" i="8" a="1"/>
  <c r="D12" i="8" s="1"/>
  <c r="C12" i="8" a="1"/>
  <c r="C12" i="8" s="1"/>
  <c r="B12" i="8" a="1"/>
  <c r="B12" i="8" s="1"/>
  <c r="J11" i="8" a="1"/>
  <c r="J11" i="8" s="1"/>
  <c r="I11" i="8" a="1"/>
  <c r="I11" i="8" s="1"/>
  <c r="H11" i="8" a="1"/>
  <c r="H11" i="8" s="1"/>
  <c r="G11" i="8" a="1"/>
  <c r="G11" i="8" s="1"/>
  <c r="F11" i="8" a="1"/>
  <c r="F11" i="8" s="1"/>
  <c r="E11" i="8" a="1"/>
  <c r="E11" i="8" s="1"/>
  <c r="D11" i="8" a="1"/>
  <c r="D11" i="8" s="1"/>
  <c r="C11" i="8" a="1"/>
  <c r="C11" i="8" s="1"/>
  <c r="B11" i="8" a="1"/>
  <c r="B11" i="8" s="1"/>
  <c r="I10" i="8" a="1"/>
  <c r="I10" i="8" s="1"/>
  <c r="H10" i="8" a="1"/>
  <c r="H10" i="8" s="1"/>
  <c r="G10" i="8" a="1"/>
  <c r="G10" i="8" s="1"/>
  <c r="F10" i="8" a="1"/>
  <c r="F10" i="8" s="1"/>
  <c r="E10" i="8" a="1"/>
  <c r="E10" i="8" s="1"/>
  <c r="D10" i="8" a="1"/>
  <c r="D10" i="8" s="1"/>
  <c r="C10" i="8" a="1"/>
  <c r="C10" i="8" s="1"/>
  <c r="B10" i="8" a="1"/>
  <c r="B10" i="8" s="1"/>
  <c r="H9" i="8" a="1"/>
  <c r="H9" i="8" s="1"/>
  <c r="G9" i="8" a="1"/>
  <c r="G9" i="8" s="1"/>
  <c r="F9" i="8" a="1"/>
  <c r="F9" i="8" s="1"/>
  <c r="E9" i="8" a="1"/>
  <c r="E9" i="8" s="1"/>
  <c r="D9" i="8" a="1"/>
  <c r="D9" i="8" s="1"/>
  <c r="C9" i="8" a="1"/>
  <c r="C9" i="8" s="1"/>
  <c r="B9" i="8" a="1"/>
  <c r="B9" i="8" s="1"/>
  <c r="G8" i="8" a="1"/>
  <c r="G8" i="8" s="1"/>
  <c r="F8" i="8" a="1"/>
  <c r="F8" i="8" s="1"/>
  <c r="E8" i="8" a="1"/>
  <c r="E8" i="8" s="1"/>
  <c r="D8" i="8" a="1"/>
  <c r="D8" i="8" s="1"/>
  <c r="C8" i="8" a="1"/>
  <c r="C8" i="8" s="1"/>
  <c r="B8" i="8" a="1"/>
  <c r="B8" i="8" s="1"/>
  <c r="F7" i="8" a="1"/>
  <c r="F7" i="8" s="1"/>
  <c r="E7" i="8" a="1"/>
  <c r="E7" i="8" s="1"/>
  <c r="D7" i="8" a="1"/>
  <c r="D7" i="8" s="1"/>
  <c r="C7" i="8" a="1"/>
  <c r="C7" i="8" s="1"/>
  <c r="B7" i="8" a="1"/>
  <c r="B7" i="8" s="1"/>
  <c r="E6" i="8" a="1"/>
  <c r="E6" i="8" s="1"/>
  <c r="D6" i="8" a="1"/>
  <c r="D6" i="8" s="1"/>
  <c r="C6" i="8" a="1"/>
  <c r="C6" i="8" s="1"/>
  <c r="B6" i="8" a="1"/>
  <c r="B6" i="8" s="1"/>
  <c r="D5" i="8" a="1"/>
  <c r="D5" i="8" s="1"/>
  <c r="C5" i="8" a="1"/>
  <c r="C5" i="8" s="1"/>
  <c r="B5" i="8" a="1"/>
  <c r="B5" i="8" s="1"/>
  <c r="C4" i="8" a="1"/>
  <c r="C4" i="8" s="1"/>
  <c r="B4" i="8" a="1"/>
  <c r="B4" i="8" s="1"/>
  <c r="B3" i="8" a="1"/>
  <c r="B3" i="8" s="1"/>
  <c r="L13" i="2" a="1"/>
  <c r="L13" i="2" s="1"/>
  <c r="K13" i="2" a="1"/>
  <c r="K13" i="2" s="1"/>
  <c r="K12" i="2" a="1"/>
  <c r="K12" i="2" s="1"/>
  <c r="J12" i="2" a="1"/>
  <c r="J12" i="2" s="1"/>
  <c r="J13" i="2" a="1"/>
  <c r="J13" i="2" s="1"/>
  <c r="J11" i="2" a="1"/>
  <c r="J11" i="2" s="1"/>
  <c r="I11" i="2" a="1"/>
  <c r="I11" i="2" s="1"/>
  <c r="I12" i="2" a="1"/>
  <c r="I12" i="2" s="1"/>
  <c r="I13" i="2" a="1"/>
  <c r="I13" i="2" s="1"/>
  <c r="I10" i="2" a="1"/>
  <c r="I10" i="2" s="1"/>
  <c r="H10" i="2" a="1"/>
  <c r="H10" i="2" s="1"/>
  <c r="H11" i="2" a="1"/>
  <c r="H11" i="2" s="1"/>
  <c r="H12" i="2" a="1"/>
  <c r="H12" i="2" s="1"/>
  <c r="H13" i="2" a="1"/>
  <c r="H13" i="2" s="1"/>
  <c r="H9" i="2" a="1"/>
  <c r="H9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8" i="2" a="1"/>
  <c r="G8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7" i="2" a="1"/>
  <c r="F7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6" i="2" a="1"/>
  <c r="E6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5" i="2" a="1"/>
  <c r="D5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4" i="2" a="1"/>
  <c r="C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3" i="2" a="1"/>
  <c r="B3" i="2" s="1"/>
  <c r="D2" i="2"/>
  <c r="B4" i="2" s="1" a="1"/>
  <c r="B4" i="2" s="1"/>
  <c r="Q5" i="2" a="1"/>
  <c r="Q5" i="2" s="1"/>
  <c r="T5" i="2" s="1"/>
  <c r="Q4" i="2" a="1"/>
  <c r="Q4" i="2" s="1"/>
  <c r="T4" i="2" s="1"/>
  <c r="Q3" i="2" a="1"/>
  <c r="Q3" i="2" s="1"/>
  <c r="T3" i="2" s="1"/>
  <c r="Q2" i="2" a="1"/>
  <c r="Q2" i="2" s="1"/>
  <c r="T2" i="2" s="1"/>
  <c r="T6" i="2" s="1"/>
  <c r="P3" i="2" a="1"/>
  <c r="P3" i="2" s="1"/>
  <c r="S3" i="2" s="1"/>
  <c r="P4" i="2" a="1"/>
  <c r="P4" i="2" s="1"/>
  <c r="S4" i="2" s="1"/>
  <c r="P5" i="2" a="1"/>
  <c r="P5" i="2" s="1"/>
  <c r="S5" i="2" s="1"/>
  <c r="P2" i="2" a="1"/>
  <c r="P2" i="2" s="1"/>
  <c r="S2" i="2" s="1"/>
  <c r="S6" i="2" s="1"/>
  <c r="R4" i="9" l="1"/>
  <c r="R3" i="9"/>
  <c r="R6" i="8"/>
  <c r="R3" i="10"/>
  <c r="R4" i="10"/>
  <c r="S4" i="10" s="1"/>
  <c r="R5" i="10"/>
  <c r="S5" i="10" s="1"/>
  <c r="R2" i="10"/>
  <c r="R5" i="9"/>
  <c r="R2" i="9"/>
  <c r="S3" i="9"/>
  <c r="S2" i="9"/>
  <c r="S4" i="9"/>
  <c r="S5" i="9"/>
  <c r="R5" i="2"/>
  <c r="U5" i="2" s="1"/>
  <c r="R3" i="2"/>
  <c r="U3" i="2" s="1"/>
  <c r="R4" i="2"/>
  <c r="U4" i="2" s="1"/>
  <c r="R2" i="2"/>
  <c r="U2" i="2" s="1"/>
  <c r="R6" i="9" l="1"/>
  <c r="T2" i="10"/>
  <c r="S2" i="10"/>
  <c r="T5" i="10"/>
  <c r="S3" i="10"/>
  <c r="T3" i="10"/>
  <c r="T4" i="10"/>
  <c r="R6" i="10"/>
  <c r="S6" i="9"/>
  <c r="U6" i="2"/>
  <c r="V6" i="2" s="1"/>
  <c r="R6" i="2"/>
  <c r="T6" i="9" l="1"/>
  <c r="S6" i="10"/>
  <c r="T6" i="10"/>
  <c r="U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<sst xmlns="http://schemas.openxmlformats.org/spreadsheetml/2006/main" count="52" uniqueCount="28">
  <si>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A</t>
  </si>
  <si>
    <t>C</t>
  </si>
  <si>
    <t>G</t>
  </si>
  <si>
    <t>T</t>
  </si>
  <si>
    <t>H_after</t>
  </si>
  <si>
    <t>P_XY</t>
  </si>
  <si>
    <t>Result (H_before - H_after)</t>
  </si>
  <si>
    <t>X</t>
  </si>
  <si>
    <t>Y</t>
  </si>
  <si>
    <t>Note</t>
  </si>
  <si>
    <t>X,Y Dominant Base</t>
  </si>
  <si>
    <t>G, C</t>
  </si>
  <si>
    <t>T, T</t>
  </si>
  <si>
    <t>Eliminated with "longest diagonal"</t>
  </si>
  <si>
    <t>A, A</t>
  </si>
  <si>
    <r>
      <t>D_</t>
    </r>
    <r>
      <rPr>
        <sz val="11"/>
        <color rgb="FF00B050"/>
        <rFont val="Calibri (Body)"/>
      </rPr>
      <t>X</t>
    </r>
    <r>
      <rPr>
        <sz val="11"/>
        <color rgb="FFFF0000"/>
        <rFont val="Calibri (Body)"/>
      </rPr>
      <t>Y</t>
    </r>
  </si>
  <si>
    <r>
      <t>D_</t>
    </r>
    <r>
      <rPr>
        <sz val="11"/>
        <color rgb="FFFF0000"/>
        <rFont val="Calibri (Body)"/>
      </rPr>
      <t>Y</t>
    </r>
    <r>
      <rPr>
        <sz val="11"/>
        <color rgb="FF00B050"/>
        <rFont val="Calibri (Body)"/>
      </rPr>
      <t>X</t>
    </r>
  </si>
  <si>
    <t>Metric: Jensen–Shannon divergence</t>
  </si>
  <si>
    <t>Midpoint</t>
  </si>
  <si>
    <t>Metric: Kullback–Leibler divergence</t>
  </si>
  <si>
    <t>DKL_PM</t>
  </si>
  <si>
    <t>DKL_QM</t>
  </si>
  <si>
    <t>JSD (Average)</t>
  </si>
  <si>
    <t>Corr</t>
  </si>
  <si>
    <t>Metric: Pearson Correlation</t>
  </si>
  <si>
    <t>H_P</t>
  </si>
  <si>
    <t>H_Q</t>
  </si>
  <si>
    <t>Metric: Avg Information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</si>
</sst>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 (Body)"/>
    </font>
    <font>
      <sz val="11"/>
      <color rgb="FFFF0000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0" fontId="2" fillId="3" borderId="0" xfId="0" applyFont="1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2" fillId="6" borderId="0" xfId="0" applyFont="1" applyFill="1"/>
    <xf numFmtId="0" fontId="2" fillId="7" borderId="0" xfId="0" applyFont="1" applyFill="1"/>
    <xf numFmtId="0" fontId="3" fillId="9" borderId="0" xfId="0" applyFont="1" applyFill="1"/>
    <xf numFmtId="0" fontId="0" fillId="9" borderId="0" xfId="0" applyFill="1"/>
    <xf numFmtId="0" fontId="0" fillId="8" borderId="0" xfId="0" applyFill="1"/>
    <xf numFmtId="0" fontId="0" fillId="3" borderId="0" xfId="0" applyFill="1" applyAlignment="1">
      <alignment horizontal="center"/>
    </xf>
    <xf numFmtId="0" fontId="0" fillId="0" borderId="2" xfId="0" applyBorder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34" Type="http://schemas.openxmlformats.org/officeDocument/2006/relationships/customXml" Target="../ink/ink17.xml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29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31" Type="http://schemas.openxmlformats.org/officeDocument/2006/relationships/image" Target="../media/image16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4.png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8" Type="http://schemas.openxmlformats.org/officeDocument/2006/relationships/customXml" Target="../ink/ink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268654</xdr:colOff>
      <xdr:row>7</xdr:row>
      <xdr:rowOff>0</xdr:rowOff>
    </xdr:from>
    <xdr:to>
      <xdr:col>11</xdr:col>
      <xdr:colOff>608298</xdr:colOff>
      <xdr:row>26</xdr:row>
      <xdr:rowOff>161063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1974A-128B-9D07-2923-105CB1929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54" y="1310705"/>
          <a:ext cx="7772400" cy="3718691"/>
        </a:xfrm>
        <a:prstGeom prst="rect">
          <a:avLst/>
        </a:prstGeom>
      </xdr:spPr>
    </xdr:pic>
    <xdr:clientData/>
  </xdr:twoCellAnchor>
  <xdr:twoCellAnchor editAs="oneCell">
    <xdr:from>
      <xdr:col>2</xdr:col>
      <xdr:colOff>567974</xdr:colOff>
      <xdr:row>23</xdr:row>
      <xdr:rowOff>464</xdr:rowOff>
    </xdr:from>
    <xdr:to>
      <xdr:col>3</xdr:col>
      <xdr:colOff>17481</xdr:colOff>
      <xdr:row>23</xdr:row>
      <xdr:rowOff>163904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7E48C90-50E1-E0DE-6B48-F82D42C00FAD}"/>
                </a:ext>
              </a:extLst>
            </xdr14:cNvPr>
            <xdr14:cNvContentPartPr/>
          </xdr14:nvContentPartPr>
          <xdr14:nvPr macro=""/>
          <xdr14:xfrm>
            <a:off x="1914480" y="4399560"/>
            <a:ext cx="122760" cy="1634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7E48C90-50E1-E0DE-6B48-F82D42C00FA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08360" y="4393440"/>
              <a:ext cx="13500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464241</xdr:colOff>
      <xdr:row>23</xdr:row>
      <xdr:rowOff>9464</xdr:rowOff>
    </xdr:from>
    <xdr:to>
      <xdr:col>3</xdr:col>
      <xdr:colOff>464601</xdr:colOff>
      <xdr:row>23</xdr:row>
      <xdr:rowOff>129344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0396A6E-E3FB-07CF-123A-A976914088A0}"/>
                </a:ext>
              </a:extLst>
            </xdr14:cNvPr>
            <xdr14:cNvContentPartPr/>
          </xdr14:nvContentPartPr>
          <xdr14:nvPr macro=""/>
          <xdr14:xfrm>
            <a:off x="2484000" y="4408560"/>
            <a:ext cx="360" cy="1198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0396A6E-E3FB-07CF-123A-A976914088A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77880" y="4402440"/>
              <a:ext cx="1260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211468</xdr:colOff>
      <xdr:row>23</xdr:row>
      <xdr:rowOff>23864</xdr:rowOff>
    </xdr:from>
    <xdr:to>
      <xdr:col>4</xdr:col>
      <xdr:colOff>375988</xdr:colOff>
      <xdr:row>24</xdr:row>
      <xdr:rowOff>3239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45E71E4-FBB1-BE47-2CD8-7CF29E8BD201}"/>
                </a:ext>
              </a:extLst>
            </xdr14:cNvPr>
            <xdr14:cNvContentPartPr/>
          </xdr14:nvContentPartPr>
          <xdr14:nvPr macro=""/>
          <xdr14:xfrm>
            <a:off x="2904480" y="4422960"/>
            <a:ext cx="164520" cy="170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45E71E4-FBB1-BE47-2CD8-7CF29E8BD20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898360" y="4416840"/>
              <a:ext cx="17676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47255</xdr:colOff>
      <xdr:row>23</xdr:row>
      <xdr:rowOff>13424</xdr:rowOff>
    </xdr:from>
    <xdr:to>
      <xdr:col>5</xdr:col>
      <xdr:colOff>211415</xdr:colOff>
      <xdr:row>24</xdr:row>
      <xdr:rowOff>25559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1648C21-A34A-3F17-DB68-80D1639AB032}"/>
                </a:ext>
              </a:extLst>
            </xdr14:cNvPr>
            <xdr14:cNvContentPartPr/>
          </xdr14:nvContentPartPr>
          <xdr14:nvPr macro=""/>
          <xdr14:xfrm>
            <a:off x="3413520" y="4412520"/>
            <a:ext cx="164160" cy="2034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1648C21-A34A-3F17-DB68-80D1639AB03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407400" y="4406400"/>
              <a:ext cx="17640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603455</xdr:colOff>
      <xdr:row>25</xdr:row>
      <xdr:rowOff>10333</xdr:rowOff>
    </xdr:from>
    <xdr:to>
      <xdr:col>6</xdr:col>
      <xdr:colOff>113802</xdr:colOff>
      <xdr:row>26</xdr:row>
      <xdr:rowOff>59908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191CDA2-6062-72D7-D93B-A6FDFFA17688}"/>
                </a:ext>
              </a:extLst>
            </xdr14:cNvPr>
            <xdr14:cNvContentPartPr/>
          </xdr14:nvContentPartPr>
          <xdr14:nvPr macro=""/>
          <xdr14:xfrm>
            <a:off x="3969720" y="4791960"/>
            <a:ext cx="183600" cy="2408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191CDA2-6062-72D7-D93B-A6FDFFA1768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963600" y="4785840"/>
              <a:ext cx="19584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553055</xdr:colOff>
      <xdr:row>23</xdr:row>
      <xdr:rowOff>50504</xdr:rowOff>
    </xdr:from>
    <xdr:to>
      <xdr:col>5</xdr:col>
      <xdr:colOff>671495</xdr:colOff>
      <xdr:row>24</xdr:row>
      <xdr:rowOff>44999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C9AA00A4-38FD-DA3D-8751-EEC122947524}"/>
                </a:ext>
              </a:extLst>
            </xdr14:cNvPr>
            <xdr14:cNvContentPartPr/>
          </xdr14:nvContentPartPr>
          <xdr14:nvPr macro=""/>
          <xdr14:xfrm>
            <a:off x="3919320" y="4449600"/>
            <a:ext cx="118440" cy="1857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C9AA00A4-38FD-DA3D-8751-EEC12294752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913200" y="4443480"/>
              <a:ext cx="13068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606695</xdr:colOff>
      <xdr:row>25</xdr:row>
      <xdr:rowOff>1693</xdr:rowOff>
    </xdr:from>
    <xdr:to>
      <xdr:col>5</xdr:col>
      <xdr:colOff>607055</xdr:colOff>
      <xdr:row>25</xdr:row>
      <xdr:rowOff>72253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BD55E9D-76BE-FC0E-9732-900F53C0FBC2}"/>
                </a:ext>
              </a:extLst>
            </xdr14:cNvPr>
            <xdr14:cNvContentPartPr/>
          </xdr14:nvContentPartPr>
          <xdr14:nvPr macro=""/>
          <xdr14:xfrm>
            <a:off x="3972960" y="4783320"/>
            <a:ext cx="360" cy="705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BD55E9D-76BE-FC0E-9732-900F53C0FBC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966840" y="4777200"/>
              <a:ext cx="1260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361122</xdr:colOff>
      <xdr:row>22</xdr:row>
      <xdr:rowOff>110729</xdr:rowOff>
    </xdr:from>
    <xdr:to>
      <xdr:col>6</xdr:col>
      <xdr:colOff>579282</xdr:colOff>
      <xdr:row>23</xdr:row>
      <xdr:rowOff>138344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2BE64C3B-DF1B-7093-339D-E56DBB1718F1}"/>
                </a:ext>
              </a:extLst>
            </xdr14:cNvPr>
            <xdr14:cNvContentPartPr/>
          </xdr14:nvContentPartPr>
          <xdr14:nvPr macro=""/>
          <xdr14:xfrm>
            <a:off x="4400640" y="4318560"/>
            <a:ext cx="218160" cy="2188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2BE64C3B-DF1B-7093-339D-E56DBB1718F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394520" y="4312440"/>
              <a:ext cx="23040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166309</xdr:colOff>
      <xdr:row>22</xdr:row>
      <xdr:rowOff>116129</xdr:rowOff>
    </xdr:from>
    <xdr:to>
      <xdr:col>7</xdr:col>
      <xdr:colOff>343429</xdr:colOff>
      <xdr:row>23</xdr:row>
      <xdr:rowOff>134384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C21E2C4-E1E7-DEF2-FF6F-EF17CE8FC696}"/>
                </a:ext>
              </a:extLst>
            </xdr14:cNvPr>
            <xdr14:cNvContentPartPr/>
          </xdr14:nvContentPartPr>
          <xdr14:nvPr macro=""/>
          <xdr14:xfrm>
            <a:off x="4879080" y="4323960"/>
            <a:ext cx="177120" cy="2095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C21E2C4-E1E7-DEF2-FF6F-EF17CE8FC69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872960" y="4317840"/>
              <a:ext cx="18936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75536</xdr:colOff>
      <xdr:row>22</xdr:row>
      <xdr:rowOff>80849</xdr:rowOff>
    </xdr:from>
    <xdr:to>
      <xdr:col>8</xdr:col>
      <xdr:colOff>219536</xdr:colOff>
      <xdr:row>23</xdr:row>
      <xdr:rowOff>111704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450623F-D02F-96DA-E6F7-D613D1A4AA2F}"/>
                </a:ext>
              </a:extLst>
            </xdr14:cNvPr>
            <xdr14:cNvContentPartPr/>
          </xdr14:nvContentPartPr>
          <xdr14:nvPr macro=""/>
          <xdr14:xfrm>
            <a:off x="5461560" y="4288680"/>
            <a:ext cx="144000" cy="2221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450623F-D02F-96DA-E6F7-D613D1A4AA2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455440" y="4282560"/>
              <a:ext cx="156240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459656</xdr:colOff>
      <xdr:row>22</xdr:row>
      <xdr:rowOff>99929</xdr:rowOff>
    </xdr:from>
    <xdr:to>
      <xdr:col>9</xdr:col>
      <xdr:colOff>24723</xdr:colOff>
      <xdr:row>24</xdr:row>
      <xdr:rowOff>173519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5827931-D87B-FA8B-0D6F-3277E95B1104}"/>
                </a:ext>
              </a:extLst>
            </xdr14:cNvPr>
            <xdr14:cNvContentPartPr/>
          </xdr14:nvContentPartPr>
          <xdr14:nvPr macro=""/>
          <xdr14:xfrm>
            <a:off x="5845680" y="4307760"/>
            <a:ext cx="238320" cy="4561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5827931-D87B-FA8B-0D6F-3277E95B110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839560" y="4301640"/>
              <a:ext cx="250560" cy="4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405243</xdr:colOff>
      <xdr:row>22</xdr:row>
      <xdr:rowOff>53849</xdr:rowOff>
    </xdr:from>
    <xdr:to>
      <xdr:col>10</xdr:col>
      <xdr:colOff>99190</xdr:colOff>
      <xdr:row>24</xdr:row>
      <xdr:rowOff>65519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B25D251B-4D83-7ADD-8916-359C1AE3E3B0}"/>
                </a:ext>
              </a:extLst>
            </xdr14:cNvPr>
            <xdr14:cNvContentPartPr/>
          </xdr14:nvContentPartPr>
          <xdr14:nvPr macro=""/>
          <xdr14:xfrm>
            <a:off x="6464520" y="4261680"/>
            <a:ext cx="367200" cy="3942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B25D251B-4D83-7ADD-8916-359C1AE3E3B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458406" y="4255560"/>
              <a:ext cx="379428" cy="40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198550</xdr:colOff>
      <xdr:row>23</xdr:row>
      <xdr:rowOff>38264</xdr:rowOff>
    </xdr:from>
    <xdr:to>
      <xdr:col>10</xdr:col>
      <xdr:colOff>217990</xdr:colOff>
      <xdr:row>24</xdr:row>
      <xdr:rowOff>26279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371F1AB-A8D5-CEB4-1F26-368A28962134}"/>
                </a:ext>
              </a:extLst>
            </xdr14:cNvPr>
            <xdr14:cNvContentPartPr/>
          </xdr14:nvContentPartPr>
          <xdr14:nvPr macro=""/>
          <xdr14:xfrm>
            <a:off x="6931080" y="4437360"/>
            <a:ext cx="19440" cy="1792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371F1AB-A8D5-CEB4-1F26-368A2896213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924960" y="4431240"/>
              <a:ext cx="3168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325630</xdr:colOff>
      <xdr:row>23</xdr:row>
      <xdr:rowOff>6584</xdr:rowOff>
    </xdr:from>
    <xdr:to>
      <xdr:col>10</xdr:col>
      <xdr:colOff>590590</xdr:colOff>
      <xdr:row>24</xdr:row>
      <xdr:rowOff>4319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8B7AFE5A-C058-D8ED-779D-A281B3419B55}"/>
                </a:ext>
              </a:extLst>
            </xdr14:cNvPr>
            <xdr14:cNvContentPartPr/>
          </xdr14:nvContentPartPr>
          <xdr14:nvPr macro=""/>
          <xdr14:xfrm>
            <a:off x="7058160" y="4405680"/>
            <a:ext cx="264960" cy="1890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8B7AFE5A-C058-D8ED-779D-A281B3419B5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052040" y="4399560"/>
              <a:ext cx="27720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114268</xdr:colOff>
      <xdr:row>26</xdr:row>
      <xdr:rowOff>6628</xdr:rowOff>
    </xdr:from>
    <xdr:to>
      <xdr:col>4</xdr:col>
      <xdr:colOff>118588</xdr:colOff>
      <xdr:row>26</xdr:row>
      <xdr:rowOff>9508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73A1CF86-C735-37AD-3D7A-68E88F5541BF}"/>
                </a:ext>
              </a:extLst>
            </xdr14:cNvPr>
            <xdr14:cNvContentPartPr/>
          </xdr14:nvContentPartPr>
          <xdr14:nvPr macro=""/>
          <xdr14:xfrm>
            <a:off x="2807280" y="4979520"/>
            <a:ext cx="4320" cy="28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73A1CF86-C735-37AD-3D7A-68E88F5541B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801160" y="4973400"/>
              <a:ext cx="1656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299763</xdr:colOff>
      <xdr:row>10</xdr:row>
      <xdr:rowOff>155189</xdr:rowOff>
    </xdr:from>
    <xdr:to>
      <xdr:col>9</xdr:col>
      <xdr:colOff>300123</xdr:colOff>
      <xdr:row>10</xdr:row>
      <xdr:rowOff>155549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C48F01C-E194-DFF5-DE52-9091FD3766B8}"/>
                </a:ext>
              </a:extLst>
            </xdr14:cNvPr>
            <xdr14:cNvContentPartPr/>
          </xdr14:nvContentPartPr>
          <xdr14:nvPr macro=""/>
          <xdr14:xfrm>
            <a:off x="6359040" y="2067840"/>
            <a:ext cx="360" cy="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C48F01C-E194-DFF5-DE52-9091FD3766B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350400" y="20138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25337</xdr:colOff>
      <xdr:row>22</xdr:row>
      <xdr:rowOff>56729</xdr:rowOff>
    </xdr:from>
    <xdr:to>
      <xdr:col>11</xdr:col>
      <xdr:colOff>169337</xdr:colOff>
      <xdr:row>23</xdr:row>
      <xdr:rowOff>58424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568FC6E2-6E41-E690-CA9E-94AE6EFD9EF6}"/>
                </a:ext>
              </a:extLst>
            </xdr14:cNvPr>
            <xdr14:cNvContentPartPr/>
          </xdr14:nvContentPartPr>
          <xdr14:nvPr macro=""/>
          <xdr14:xfrm>
            <a:off x="7431120" y="4264560"/>
            <a:ext cx="144000" cy="1929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568FC6E2-6E41-E690-CA9E-94AE6EFD9EF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425000" y="4258451"/>
              <a:ext cx="156240" cy="20517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248613</xdr:colOff>
      <xdr:row>7</xdr:row>
      <xdr:rowOff>92700</xdr:rowOff>
    </xdr:from>
    <xdr:to>
      <xdr:col>19</xdr:col>
      <xdr:colOff>509471</xdr:colOff>
      <xdr:row>18</xdr:row>
      <xdr:rowOff>52232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3636C-DD2D-194D-BC81-ACE89A764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1095" y="1705693"/>
          <a:ext cx="4636332" cy="231413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3:56.30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319 47 24575,'-11'-3'0,"-5"-3"0,0-1 0,0 1 0,5 1 0,0 1 0,-3 1 0,-3-1 0,0 0 0,3 2 0,3 0 0,-1 2 0,-5 0 0,-4 0 0,-2 2 0,5 3 0,3 4 0,4 6 0,-1 4 0,1 4 0,2-3 0,1-2 0,4-4 0,2 1 0,1 7 0,1 5 0,0 4 0,1-1 0,2-6 0,2-1 0,3-3 0,0-2 0,-2-2 0,-1-3 0,-3-4 0,2-1 0,4 0 0,9 3 0,7 3 0,4 2 0,-1-3 0,-4-6 0,-5-4 0,-2-3 0,-3 0 0,-4 0 0,-1-2 0,-1-3 0,-3 1 0,0 0 0</inkml:trace>
  <inkml:trace contextRef="#ctx0" brushRef="#br0" timeOffset="364">255 349 24575,'0'-3'0,"0"0"0</inkml:trace>
  <inkml:trace contextRef="#ctx0" brushRef="#br0" timeOffset="2148">340 24 24575,'0'5'0,"0"14"0,0 17 0,0 10 0,0-6 0,0-10 0,0-11 0,0-3 0,0 7 0,-1 3 0,-2-1 0,0-6 0,-2-9 0,-2-3 0,-5-2 0,-8 1 0,-1-1 0,1 1 0,6-1 0,7 0 0,2 2 0,3-3 0,1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3:59.5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0 24575,'0'9'0,"0"6"0,0 8 0,0 1 0,0-4 0,0-4 0,0 3 0,0 10 0,0 7 0,0-1 0,0-9 0,0-11 0,0-6 0,0 1 0,0 2 0,0 4 0,0-6 0,0-2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02.05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75 0 24575,'11'0'0,"4"0"0,4 1 0,6 4 0,-1 6 0,1 10 0,-2 7 0,-4 1 0,-5 3 0,-5 1 0,-4 2 0,-4 1 0,-1-7 0,0-7 0,0-8 0,0-5 0,0-1 0,0 4 0,-4 7 0,-6 4 0,-8-1 0,-3-3 0,3-6 0,2-4 0,1-2 0,-4 1 0,-2 1 0,-1 1 0,4-4 0,4-3 0,0-2 0,1-1 0,-2 0 0,3 0 0,4-2 0,3 0 0,3-6 0,2-2 0,6 0 0,13 3 0,16 5 0,12 6 0,0 2 0,-10 0 0,-13-1 0,-9-4 0,-4-1 0,3 0 0,8 0 0,11 0 0,7 0 0,-1 0 0,-7 0 0,-12 0 0,-10 0 0,-5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04.32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6 24575,'6'-3'0,"3"1"0,5 2 0,1 0 0,0 0 0,0 0 0,1 0 0,4 0 0,1 0 0,-2 0 0,-6 0 0,-1 0 0,5 0 0,10 0 0,8 0 0,-2 2 0,-7 1 0,-14 2 0,-6 0 0,-6 2 0,-5 1 0,-3 1 0,-3 0 0,-3 1 0,-2 1 0,-4-1 0,-3 1 0,-2 1 0,1 0 0,4 1 0,6-3 0,5-2 0,7-4 0,6-3 0,14 4 0,13 3 0,11 5 0,2 6 0,-6 1 0,-9-2 0,-10-2 0,-4 3 0,-1 12 0,2 12 0,0 8 0,-2-4 0,-5-10 0,-4-12 0,-4-9 0,-1-5 0,-1-2 0,-9-1 0,-7-1 0,-3-2 0,-2-1 0,3-2 0,-11-2 0,-15-4 0,-10-3 0,3-3 0,12-1 0,16 4 0,9 2 0,9 2 0,1 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09.35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42 153 24575,'-3'6'0,"-4"1"0,-4 1 0,-1-2 0,3-1 0,10-2 0,15 2 0,14 5 0,15 4 0,13 3 0,9 2 0,7 2 0,-4 0 0,-12-1 0,-15-3 0,-16-6 0,-13-6 0,-8-4 0,-6-3 0,-3-5 0,-1-7 0,-4-10 0,-2-4 0,1 3 0,2 4 0,5 3 0,1-4 0,1-8 0,-2-5 0,1 3 0,-3 5 0,1 5 0,1 5 0,1 4 0,0 4 0,1 7 0,0 15 0,0 25 0,0 25 0,0 25 0,0 11 0,0-6 0,0-15 0,0-21 0,0-15 0,0-9 0,0-6 0,0-5 0,0-12 0,0-5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05.5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0 24575,'0'9'0,"0"7"0,0 12 0,4 12 0,9 11 0,8 7 0,9 7 0,3 3 0,-2-6 0,-3-12 0,-8-16 0,-6-13 0,-8-12 0,-3-4 0</inkml:trace>
  <inkml:trace contextRef="#ctx0" brushRef="#br0" timeOffset="1317">329 138 24575,'-7'7'0,"-3"3"0,-2 3 0,-4 6 0,-8 7 0,-2 2 0,-1-2 0,4-5 0,10-7 0,4-5 0,2 1 0,-2 4 0,-3 4 0,0 1 0,6-8 0,2-4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14.03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0 195 24575,'0'-19'0,"0"-6"0,0-12 0,0-6 0,0 8 0,0 11 0,0 12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16.26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605 107 24575,'-19'-3'0,"-20"0"0,-27-2 0,-17-7 0,-1-6 0,20-2 0,23 4 0,20 7 0,11 5 0,4 2 0,-7 2 0,-10 0 0,-7-3 0,-2-1 0,8-1 0,11 2 0,6 7 0,5 9 0,2 10 0,0 4 0,0 1 0,0 1 0,0 1 0,0 2 0,0-3 0,0-6 0,0-4 0,1-7 0,11-7 0,14-5 0,17-6 0,9-1 0,-7 1 0,-7 2 0,-8 4 0,1 0 0,0 6 0,1 7 0,-1 8 0,-7 5 0,-4 1 0,-6-1 0,-5-2 0,-3 0 0,-3 1 0,-1 3 0,-5 2 0,-5 0 0,-6-5 0,-5-6 0,-2-5 0,-5-4 0,-7-4 0,-10-4 0,-9-3 0,-3-7 0,2-11 0,6-9 0,9-5 0,9 5 0,8 8 0,10 10 0,6 6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19.60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278 1 24575,'-19'0'0,"-1"0"0,1 2 0,0 3 0,3 5 0,-1 6 0,0 3 0,0 2 0,0 3 0,1 0 0,0 1 0,2 2 0,-1-1 0,3-1 0,0 0 0,2-2 0,2-2 0,1-3 0,4-5 0,1-3 0,1 1 0,1 4 0,0 6 0,0 3 0,0 0 0,0-5 0,0-4 0,0-5 0,1-1 0,5 0 0,10 3 0,13 6 0,7 1 0,0-2 0,-4-4 0,-8-7 0,-5-3 0,-2-2 0,1-1 0,1 0 0,4 0 0,1 0 0,0 0 0,-1 0 0,-3-2 0,-2-5 0,0-4 0,0-6 0,-1-1 0,-3 1 0,-2 2 0,-2 1 0,-2-1 0,-3-1 0,-3 0 0,-1-3 0,-1-1 0,0 1 0,0-1 0,0 4 0,0 2 0,0 0 0,0 3 0,-4 1 0,-3 2 0,-5 1 0,-6 3 0,-4 1 0,-3 2 0,2 0 0,5 1 0,7 0 0,2 0 0,-1 0 0,-2 2 0,-5 4 0,0 3 0,1 3 0,6-3 0,3 0 0,0 0 0,-1 0 0,-3 3 0,2-2 0,1-2 0,4 1 0,2 1 0,0 1 0,0 1 0,1 2 0,0 0 0,1 1 0,0-1 0,0-2 0,0 0 0,0 0 0,0-2 0,0-4 0,0-3 0</inkml:trace>
  <inkml:trace contextRef="#ctx0" brushRef="#br0" timeOffset="200">198 515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20.81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31 150 24575,'0'0'0</inkml:trace>
  <inkml:trace contextRef="#ctx0" brushRef="#br0" timeOffset="1684">31 150 24575,'0'-13'0,"0"0"0,0-2 0,0 4 0,0 4 0,0 2 0,0-1 0,0 0 0,0-1 0,0-1 0,0 2 0,0-5 0,0-2 0,0-2 0,4 3 0,8 10 0,11 12 0,9 6 0,0 3 0,-5-3 0,-8-7 0,4-3 0,12-5 0,11-1 0,3 0 0,-10 0 0,-18 0 0,-14 0 0,-9 1 0,-6 3 0,-2 3 0,-2 4 0,-2 6 0,-2 5 0,-1 11 0,-1 11 0,-1 11 0,-1 2 0,2-6 0,4-11 0,6-7 0,3-3 0,0 3 0,1 1 0,0-5 0,1-7 0,1-11 0,1-6 0</inkml:trace>
  <inkml:trace contextRef="#ctx0" brushRef="#br0" timeOffset="2833">128 406 24575,'10'0'0,"-5"0"0,0 0 0</inkml:trace>
  <inkml:trace contextRef="#ctx0" brushRef="#br0" timeOffset="4817">397 474 24575,'-6'0'0,"-1"0"0,2 0 0,-3 0 0,-14-3 0,-11-6 0,-10-4 0,3-2 0,12 2 0,9 6 0,6 2 0,-11-3 0,-11-6 0,-5-4 0,3-1 0,15 6 0,11 6 0,8 4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33.3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532 41 24575,'1'2'0,"-6"0"0,-6-1 0,-11-1 0,-11 0 0,-11 0 0,-8 0 0,0 0 0,4 0 0,11 0 0,6 0 0,3 0 0,1 3 0,0 2 0,2 2 0,5 0 0,7-2 0,2 0 0,1 5 0,-1 8 0,-1 5 0,3 1 0,5-1 0,4 2 0,11 5 0,22 13 0,28 11 0,-18-21 0,4 0 0,4 3 0,2 1 0,-2-2 0,-2 0 0,33 22 0,-27-15 0,-23-17 0,-17-10 0,-7 0 0,-1 5 0,0 12 0,1 11 0,1 4 0,0-1 0,-3-3 0,-3-1 0,-1 2 0,-2 4 0,0 0 0,0-6 0,0-7 0,-6-7 0,-13-5 0,-23-5 0,-22-7 0,-8-5 0,8-7 0,17-6 0,16-8 0,9-6 0,5-8 0,4-4 0,3-8 0,2-9 0,2-6 0,4-9 0,1-3 0,1 3 0,1 6 0,5 7 0,10 5 0,7 4 0,9 0 0,3 0 0,3-1 0,-1-1 0,-2 2 0,-2 4 0,-3-1 0,-3 0 0,-3 0 0,-3-4 0,-1 1 0,-1-3 0,-1 3 0,-3 10 0,-7 13 0,-4 11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34.58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208 553 24575,'0'8'0,"0"0"0,0 1 0,0 1 0,-2 1 0,-3 0 0,-1-2 0,-3-3 0,-3-2 0,-11 5 0,-12 4 0,-6 5 0,5-3 0,12-5 0,13-5 0,7-4 0</inkml:trace>
  <inkml:trace contextRef="#ctx0" brushRef="#br0" timeOffset="934">117 622 24575,'8'0'0,"1"0"0,7 0 0,4 0 0,7-2 0,13 7 0,17 12 0,8 11 0,2 10 0,-7-1 0,-10-5 0,-8-6 0,-13-8 0,-12-7 0,-27-5 0,7-4 0,-14-1 0</inkml:trace>
  <inkml:trace contextRef="#ctx0" brushRef="#br0" timeOffset="2834">713 106 24575,'-20'-8'0,"-14"-6"0,-18-6 0,-13-4 0,1 4 0,8 7 0,14 8 0,16 3 0,8 2 0,4 7 0,-2 13 0,-1 13 0,-2 15 0,6-4 0,4-12 0,4-11 0,4-9 0,15 19 0,22 23 0,18 18 0,9 1 0,-14-20 0,-13-24 0,-11-17 0,-4-19 0,1-13 0,-3-5 0,-3 1 0,-8 11 0,-3 8 0</inkml:trace>
  <inkml:trace contextRef="#ctx0" brushRef="#br0" timeOffset="3200">620 447 24575,'0'0'0</inkml:trace>
  <inkml:trace contextRef="#ctx0" brushRef="#br0" timeOffset="4433">620 241 24575,'2'44'0,"4"11"0,2 24 0,3 3 0,-4-7 0,-2-11 0,-4-14 0,-1-7 0,0-4 0,0 2 0,0 1 0,2 1 0,2-5 0,0-9 0,0-8 0,-3-6 0,-1-1 0,0 2 0,0-1 0,0-5 0,0-4 0</inkml:trace>
  <inkml:trace contextRef="#ctx0" brushRef="#br0" timeOffset="5499">848 850 24575,'19'28'0,"13"18"0,10 11 0,-4-4 0,-13-21 0,-15-16 0,-6-8 0,-2-4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42.16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0 24575,'4'21'0,"4"19"0,2 22 0,1 19 0,0 8 0,-6-9 0,-1-12 0,-4-32 0,0-16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46.1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126 0 24575,'-10'0'0,"-6"0"0,-15 5 0,2 4 0,3 6 0,12 5 0,14-1 0,0 0 0,0-4 0,0-4 0,0-1 0,0 1 0,0 4 0,7 12 0,12 14 0,18 15 0,14 4 0,3-5 0,-4-10 0,-6-15 0,-3-8 0,6-7 0,9-4 0,6-3 0,1-4 0,-9-3 0,-13-12 0,-7-17 0,-8-18 0,-4-8 0,-7 4 0,-7 12 0,-4 10 0,-4 6 0,-1 1 0,-8-1 0,-15 0 0,-19-3 0,-13 0 0,2 3 0,11 6 0,18 7 0,10 5 0,5 2 0,-4 2 0,-7 0 0,-14-2 0,-16-12 0,20 8 0,1-8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54.25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0 24575,'6'4'0,"-1"-1"0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59.76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1 0 16383,'0'0'0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14:18.12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0 181 24575,'3'-9'0,"4"-3"0,3 0 0,2-2 0,1 0 0,-1 0 0,1-3 0,0-2 0,0 0 0,-1 3 0,-4 4 0,-3 5 0,-2 2 0,-1 1 0,1 1 0,0 0 0,0 4 0,-2 9 0,0 8 0,-1 3 0,0-1 0,0-4 0,0-2 0,0 4 0,0 3 0,0 5 0,0 0 0,0 0 0,0-3 0,0-4 0,0-3 0,0-5 0,0-1 0,0-1 0,0-1 0,0 0 0,0-2 0,0 0 0,0 2 0,0 4 0,0 3 0,0 0 0,0-7 0,0-4 0</inkml:trace>
  <inkml:trace contextRef="#ctx0" brushRef="#br0" timeOffset="1834">204 157 24575,'7'-3'0,"0"-3"0,4-5 0,2-4 0,0 2 0,-2 3 0,-4 3 0,1-1 0,2-5 0,3-2 0,1-2 0,-1 3 0,-4 6 0,-4 6 0,-3 14 0,-2 16 0,3 15 0,1 11 0,3-3 0,0-3 0,-1-6 0,-1-3 0,0-5 0,-1-5 0,-1-6 0,-2-2 0,1 0 0,0-1 0,0-1 0,0-3 0,-2-4 0,0-6 0,0-3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zoomScale="150" workbookViewId="0">
      <selection activeCell="C29" sqref="C29"/>
    </sheetView>
    <sheetView workbookViewId="1"/>
  </sheetViews>
  <sheetFormatPr baseColWidth="10" defaultColWidth="8.83203125" defaultRowHeight="15" x14ac:dyDescent="0.2"/>
  <sheetData>
    <row r="1" spans="1:13" x14ac:dyDescent="0.2">
      <c r="B1" s="8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 x14ac:dyDescent="0.2">
      <c r="A2" s="1" t="s">
        <v>0</v>
      </c>
      <c r="B2">
        <v>3.125E-2</v>
      </c>
      <c r="C2">
        <v>4.6875E-2</v>
      </c>
      <c r="D2">
        <v>0</v>
      </c>
      <c r="E2">
        <v>1</v>
      </c>
      <c r="F2">
        <v>0.90625</v>
      </c>
      <c r="G2">
        <v>9.375E-2</v>
      </c>
      <c r="H2">
        <v>0</v>
      </c>
      <c r="I2">
        <v>1.5625E-2</v>
      </c>
      <c r="J2">
        <v>1.5625E-2</v>
      </c>
      <c r="K2">
        <v>1.5625E-2</v>
      </c>
      <c r="L2">
        <v>1</v>
      </c>
      <c r="M2">
        <v>0</v>
      </c>
    </row>
    <row r="3" spans="1:13" x14ac:dyDescent="0.2">
      <c r="A3" s="1" t="s">
        <v>1</v>
      </c>
      <c r="B3">
        <v>0.25</v>
      </c>
      <c r="C3">
        <v>1.5625E-2</v>
      </c>
      <c r="D3">
        <v>0.984375</v>
      </c>
      <c r="E3">
        <v>0</v>
      </c>
      <c r="F3">
        <v>0</v>
      </c>
      <c r="G3">
        <v>0.15625</v>
      </c>
      <c r="H3">
        <v>0</v>
      </c>
      <c r="I3">
        <v>0.25</v>
      </c>
      <c r="J3">
        <v>0</v>
      </c>
      <c r="K3">
        <v>0.984375</v>
      </c>
      <c r="L3">
        <v>0</v>
      </c>
      <c r="M3">
        <v>0.234375</v>
      </c>
    </row>
    <row r="4" spans="1:13" x14ac:dyDescent="0.2">
      <c r="A4" s="1" t="s">
        <v>2</v>
      </c>
      <c r="B4">
        <v>0.71875</v>
      </c>
      <c r="C4">
        <v>0</v>
      </c>
      <c r="D4">
        <v>1.5625E-2</v>
      </c>
      <c r="E4">
        <v>0</v>
      </c>
      <c r="F4">
        <v>0</v>
      </c>
      <c r="G4">
        <v>0.59375</v>
      </c>
      <c r="H4">
        <v>0</v>
      </c>
      <c r="I4">
        <v>0.734375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3</v>
      </c>
      <c r="B5">
        <v>0</v>
      </c>
      <c r="C5">
        <v>0.9375</v>
      </c>
      <c r="D5">
        <v>0</v>
      </c>
      <c r="E5">
        <v>0</v>
      </c>
      <c r="F5">
        <v>9.375E-2</v>
      </c>
      <c r="G5">
        <v>0.15625</v>
      </c>
      <c r="H5">
        <v>1</v>
      </c>
      <c r="I5">
        <v>0</v>
      </c>
      <c r="J5">
        <v>0.984375</v>
      </c>
      <c r="K5">
        <v>0</v>
      </c>
      <c r="L5">
        <v>0</v>
      </c>
      <c r="M5">
        <v>0.765625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23D0-37BA-E443-BEB2-C0C6BD468A8C}">
  <dimension ref="A1:T13"/>
  <sheetViews>
    <sheetView zoomScale="140" workbookViewId="0">
      <selection activeCell="Q1" sqref="Q1"/>
    </sheetView>
    <sheetView workbookViewId="1"/>
  </sheetViews>
  <sheetFormatPr baseColWidth="10" defaultRowHeight="15" x14ac:dyDescent="0.2"/>
  <cols>
    <col min="1" max="1" width="15.5" customWidth="1"/>
    <col min="2" max="9" width="5.5" customWidth="1"/>
    <col min="10" max="10" width="7.1640625" customWidth="1"/>
    <col min="11" max="11" width="8.1640625" customWidth="1"/>
    <col min="12" max="12" width="7.5" customWidth="1"/>
    <col min="13" max="13" width="6.1640625" customWidth="1"/>
    <col min="15" max="15" width="4.1640625" customWidth="1"/>
    <col min="16" max="16" width="11" customWidth="1"/>
    <col min="17" max="17" width="9.6640625" customWidth="1"/>
    <col min="18" max="18" width="11" bestFit="1" customWidth="1"/>
    <col min="19" max="19" width="12.33203125" bestFit="1" customWidth="1"/>
    <col min="20" max="20" width="12.1640625" customWidth="1"/>
  </cols>
  <sheetData>
    <row r="1" spans="1:20" ht="48" x14ac:dyDescent="0.2">
      <c r="A1" s="4" t="s">
        <v>19</v>
      </c>
      <c r="B1" s="15">
        <v>0</v>
      </c>
      <c r="C1" s="15">
        <v>1</v>
      </c>
      <c r="D1" s="15">
        <v>2</v>
      </c>
      <c r="E1" s="15">
        <v>3</v>
      </c>
      <c r="F1" s="15">
        <v>4</v>
      </c>
      <c r="G1" s="15">
        <v>5</v>
      </c>
      <c r="H1" s="15">
        <v>6</v>
      </c>
      <c r="I1" s="15">
        <v>7</v>
      </c>
      <c r="J1" s="15">
        <v>8</v>
      </c>
      <c r="K1" s="15">
        <v>9</v>
      </c>
      <c r="L1" s="15">
        <v>10</v>
      </c>
      <c r="M1" s="15">
        <v>11</v>
      </c>
      <c r="P1" s="17">
        <v>0</v>
      </c>
      <c r="Q1" s="18">
        <v>9</v>
      </c>
      <c r="R1" s="6" t="s">
        <v>15</v>
      </c>
      <c r="S1" s="6" t="s">
        <v>16</v>
      </c>
      <c r="T1" s="7"/>
    </row>
    <row r="2" spans="1:20" x14ac:dyDescent="0.2">
      <c r="A2" s="16">
        <v>0</v>
      </c>
      <c r="B2" s="2"/>
      <c r="C2" s="5">
        <v>31.020705939999999</v>
      </c>
      <c r="D2" s="20">
        <v>1.8600792660000001</v>
      </c>
      <c r="E2">
        <v>4.9999999900000001</v>
      </c>
      <c r="F2">
        <v>7.1966930930000004</v>
      </c>
      <c r="G2">
        <v>4.6510474650000004</v>
      </c>
      <c r="H2">
        <v>33.219280939999997</v>
      </c>
      <c r="I2" s="20">
        <v>7.1603760000000004E-3</v>
      </c>
      <c r="J2">
        <v>32.66223961</v>
      </c>
      <c r="K2" s="20">
        <v>1.9307599209999999</v>
      </c>
      <c r="L2">
        <v>4.9999999900000001</v>
      </c>
      <c r="M2" s="10">
        <v>25.116701679999998</v>
      </c>
      <c r="O2" s="3" t="s">
        <v>0</v>
      </c>
      <c r="P2" cm="1">
        <f t="array" ref="P2">INDEX(PPM!$B$2:$M$5, ROW(A1), MATCH(P$1, PPM!$B$1:$M$1, 0)) + 0.0000000001</f>
        <v>3.1250000100000001E-2</v>
      </c>
      <c r="Q2" cm="1">
        <f t="array" ref="Q2">INDEX(PPM!$B$2:$M$5, ROW(B1), MATCH(Q$1, PPM!$B$1:$M$1, 0)) + 0.0000000001</f>
        <v>1.5625000100000001E-2</v>
      </c>
      <c r="R2" s="5">
        <f>P2*LOG(P2/Q2, 2)</f>
        <v>3.1249999955730495E-2</v>
      </c>
      <c r="S2">
        <f>Q2 * LOG(Q2/P2, 2)</f>
        <v>-1.5625000027865248E-2</v>
      </c>
    </row>
    <row r="3" spans="1:20" x14ac:dyDescent="0.2">
      <c r="A3" s="16">
        <v>1</v>
      </c>
      <c r="B3" s="5">
        <v>24.515638259999999</v>
      </c>
      <c r="C3" s="2"/>
      <c r="D3">
        <v>6.3091861807209408</v>
      </c>
      <c r="E3">
        <v>4.4150374963453638</v>
      </c>
      <c r="F3">
        <v>3.5609922491450261</v>
      </c>
      <c r="G3">
        <v>19.486305897411111</v>
      </c>
      <c r="H3" s="20">
        <v>9.3109404381863367E-2</v>
      </c>
      <c r="I3">
        <v>25.043545593782468</v>
      </c>
      <c r="J3" s="20">
        <v>4.4524455658293112E-2</v>
      </c>
      <c r="K3">
        <v>5.8591198767729322</v>
      </c>
      <c r="L3">
        <v>4.4150374963453638</v>
      </c>
      <c r="M3" s="20">
        <v>0.69197659349035723</v>
      </c>
      <c r="O3" s="3" t="s">
        <v>1</v>
      </c>
      <c r="P3" cm="1">
        <f t="array" ref="P3">INDEX(PPM!$B$2:$M$5, ROW(A2), MATCH(P$1, PPM!$B$1:$M$1, 0)) + 0.0000000001</f>
        <v>0.25000000010000001</v>
      </c>
      <c r="Q3" cm="1">
        <f t="array" ref="Q3">INDEX(PPM!$B$2:$M$5, ROW(B2), MATCH(Q$1, PPM!$B$1:$M$1, 0)) + 0.0000000001</f>
        <v>0.98437500010000001</v>
      </c>
      <c r="R3" s="5">
        <f t="shared" ref="R3:R5" si="0">P3*LOG(P3/Q3, 2)</f>
        <v>-0.49431998096507751</v>
      </c>
      <c r="S3">
        <f t="shared" ref="S3:S4" si="1">Q3 * LOG(Q3/P3, 2)</f>
        <v>1.9463849244691667</v>
      </c>
    </row>
    <row r="4" spans="1:20" x14ac:dyDescent="0.2">
      <c r="A4" s="16">
        <v>2</v>
      </c>
      <c r="B4" s="5">
        <v>4.3575927019999998</v>
      </c>
      <c r="C4">
        <v>32.312589736277587</v>
      </c>
      <c r="D4" s="2">
        <v>0</v>
      </c>
      <c r="E4">
        <v>33.219280949017893</v>
      </c>
      <c r="F4">
        <v>32.770416460439137</v>
      </c>
      <c r="G4">
        <v>10.26726996944552</v>
      </c>
      <c r="H4">
        <v>33.219280949017893</v>
      </c>
      <c r="I4">
        <v>4.0101324655174384</v>
      </c>
      <c r="J4">
        <v>33.1031658738574</v>
      </c>
      <c r="K4" s="20">
        <v>0.42530126497041992</v>
      </c>
      <c r="L4">
        <v>33.219280949017893</v>
      </c>
      <c r="M4">
        <v>24.65327670241172</v>
      </c>
      <c r="O4" s="3" t="s">
        <v>2</v>
      </c>
      <c r="P4" cm="1">
        <f t="array" ref="P4">INDEX(PPM!$B$2:$M$5, ROW(A3), MATCH(P$1, PPM!$B$1:$M$1, 0)) + 0.0000000001</f>
        <v>0.71875000010000001</v>
      </c>
      <c r="Q4" cm="1">
        <f t="array" ref="Q4">INDEX(PPM!$B$2:$M$5, ROW(B3), MATCH(Q$1, PPM!$B$1:$M$1, 0)) + 0.0000000001</f>
        <v>1E-10</v>
      </c>
      <c r="R4" s="5">
        <f t="shared" si="0"/>
        <v>23.533918341337451</v>
      </c>
      <c r="S4">
        <f t="shared" si="1"/>
        <v>-3.2742842905131364E-9</v>
      </c>
    </row>
    <row r="5" spans="1:20" x14ac:dyDescent="0.2">
      <c r="A5" s="16">
        <v>3</v>
      </c>
      <c r="B5" s="5">
        <v>31.182488580000001</v>
      </c>
      <c r="C5">
        <v>31.274132205425509</v>
      </c>
      <c r="D5">
        <v>33.1031658738574</v>
      </c>
      <c r="E5" s="2">
        <v>0</v>
      </c>
      <c r="F5">
        <v>2.6654431003916672</v>
      </c>
      <c r="G5">
        <v>28.50137308568231</v>
      </c>
      <c r="H5">
        <v>33.219280949017893</v>
      </c>
      <c r="I5">
        <v>31.779380872428789</v>
      </c>
      <c r="J5">
        <v>32.584114609028987</v>
      </c>
      <c r="K5">
        <v>32.584114609028987</v>
      </c>
      <c r="L5" s="20">
        <v>0</v>
      </c>
      <c r="M5">
        <v>32.433720656908612</v>
      </c>
      <c r="O5" s="3" t="s">
        <v>3</v>
      </c>
      <c r="P5" cm="1">
        <f t="array" ref="P5">INDEX(PPM!$B$2:$M$5, ROW(A4), MATCH(P$1, PPM!$B$1:$M$1, 0)) + 0.0000000001</f>
        <v>1E-10</v>
      </c>
      <c r="Q5" cm="1">
        <f t="array" ref="Q5">INDEX(PPM!$B$2:$M$5, ROW(B4), MATCH(Q$1, PPM!$B$1:$M$1, 0)) + 0.0000000001</f>
        <v>1E-10</v>
      </c>
      <c r="R5" s="5">
        <f t="shared" si="0"/>
        <v>0</v>
      </c>
      <c r="S5">
        <f>Q5 * LOG(Q5/P5, 2)</f>
        <v>0</v>
      </c>
    </row>
    <row r="6" spans="1:20" x14ac:dyDescent="0.2">
      <c r="A6" s="16">
        <v>4</v>
      </c>
      <c r="B6" s="5">
        <v>31.186926669999998</v>
      </c>
      <c r="C6">
        <v>3.339311110840403</v>
      </c>
      <c r="D6">
        <v>33.1031658738574</v>
      </c>
      <c r="E6" s="20">
        <v>0.1420190048575036</v>
      </c>
      <c r="F6" s="2">
        <v>0</v>
      </c>
      <c r="G6">
        <v>23.857774328148071</v>
      </c>
      <c r="H6">
        <v>3.415037497884239</v>
      </c>
      <c r="I6">
        <v>31.781599919379691</v>
      </c>
      <c r="J6">
        <v>3.247781508770196</v>
      </c>
      <c r="K6">
        <v>32.586333655979892</v>
      </c>
      <c r="L6" s="20">
        <v>0.1420190048575036</v>
      </c>
      <c r="M6">
        <v>9.6148467646344109</v>
      </c>
      <c r="R6">
        <f xml:space="preserve"> SUM(R2:R5)</f>
        <v>23.070848360328103</v>
      </c>
      <c r="S6">
        <f xml:space="preserve"> SUM(S2:S5)</f>
        <v>1.930759921167017</v>
      </c>
      <c r="T6">
        <f>AVERAGE(R6:S6)</f>
        <v>12.50080414074756</v>
      </c>
    </row>
    <row r="7" spans="1:20" x14ac:dyDescent="0.2">
      <c r="A7" s="16">
        <v>5</v>
      </c>
      <c r="B7" s="19">
        <v>0.318100151</v>
      </c>
      <c r="C7">
        <v>2.324622217424098</v>
      </c>
      <c r="D7">
        <v>2.5318630882687709</v>
      </c>
      <c r="E7">
        <v>3.415037497884239</v>
      </c>
      <c r="F7" s="20">
        <v>2.8970824849101051</v>
      </c>
      <c r="G7" s="2">
        <v>0</v>
      </c>
      <c r="H7">
        <v>2.6780719043335819</v>
      </c>
      <c r="I7" s="20">
        <v>0.35433235746951702</v>
      </c>
      <c r="J7">
        <v>2.573471916572311</v>
      </c>
      <c r="K7">
        <v>2.573471916572311</v>
      </c>
      <c r="L7">
        <v>3.415037497884239</v>
      </c>
      <c r="M7" s="20">
        <v>1.892511612224304</v>
      </c>
    </row>
    <row r="8" spans="1:20" x14ac:dyDescent="0.2">
      <c r="A8" s="16">
        <v>6</v>
      </c>
      <c r="B8" s="5">
        <v>32.220591110000001</v>
      </c>
      <c r="C8" s="20">
        <v>1.688210110206448</v>
      </c>
      <c r="D8">
        <v>33.1031658738574</v>
      </c>
      <c r="E8">
        <v>33.219280949017893</v>
      </c>
      <c r="F8">
        <v>29.65610887146871</v>
      </c>
      <c r="G8">
        <v>26.425168026368691</v>
      </c>
      <c r="H8" s="2">
        <v>0</v>
      </c>
      <c r="I8">
        <v>32.298432137257187</v>
      </c>
      <c r="J8" s="20">
        <v>0.4029361896679044</v>
      </c>
      <c r="K8">
        <v>33.1031658738574</v>
      </c>
      <c r="L8">
        <v>33.219280949017893</v>
      </c>
      <c r="M8">
        <v>7.0002086803167911</v>
      </c>
    </row>
    <row r="9" spans="1:20" x14ac:dyDescent="0.2">
      <c r="A9" s="16">
        <v>7</v>
      </c>
      <c r="B9" s="19">
        <v>8.9494190000000001E-3</v>
      </c>
      <c r="C9">
        <v>31.067580940164301</v>
      </c>
      <c r="D9" s="20">
        <v>1.859594473605175</v>
      </c>
      <c r="E9">
        <v>5.9999999909110224</v>
      </c>
      <c r="F9">
        <v>8.1029430921547796</v>
      </c>
      <c r="G9">
        <v>4.7263752422845942</v>
      </c>
      <c r="H9">
        <v>33.219280949017893</v>
      </c>
      <c r="I9" s="2">
        <v>0</v>
      </c>
      <c r="J9">
        <v>32.677864608886978</v>
      </c>
      <c r="K9" s="20">
        <v>1.9463849242714379</v>
      </c>
      <c r="L9">
        <v>5.9999999909110224</v>
      </c>
      <c r="M9">
        <v>25.116701684381109</v>
      </c>
    </row>
    <row r="10" spans="1:20" x14ac:dyDescent="0.2">
      <c r="A10" s="16">
        <v>8</v>
      </c>
      <c r="B10" s="5">
        <v>31.369988580000001</v>
      </c>
      <c r="C10" s="20">
        <v>0.43360638701186949</v>
      </c>
      <c r="D10">
        <v>33.1031658738574</v>
      </c>
      <c r="E10">
        <v>5.9999999909110224</v>
      </c>
      <c r="F10">
        <v>4.9907655103560211</v>
      </c>
      <c r="G10">
        <v>23.876910448498951</v>
      </c>
      <c r="H10" s="20">
        <v>2.2720076497793468E-2</v>
      </c>
      <c r="I10">
        <v>31.873130872286779</v>
      </c>
      <c r="J10" s="2">
        <v>0</v>
      </c>
      <c r="K10">
        <v>32.677864608886978</v>
      </c>
      <c r="L10">
        <v>5.9999999909110224</v>
      </c>
      <c r="M10">
        <v>7.0176037388854144</v>
      </c>
    </row>
    <row r="11" spans="1:20" x14ac:dyDescent="0.2">
      <c r="A11" s="16">
        <v>9</v>
      </c>
      <c r="B11" s="5">
        <v>23.070848359999999</v>
      </c>
      <c r="C11">
        <v>31.03668594136634</v>
      </c>
      <c r="D11" s="20">
        <v>0.42530126497041992</v>
      </c>
      <c r="E11">
        <v>5.9999999909110224</v>
      </c>
      <c r="F11">
        <v>8.1029430921547796</v>
      </c>
      <c r="G11">
        <v>23.876910448498951</v>
      </c>
      <c r="H11">
        <v>33.219280949017893</v>
      </c>
      <c r="I11">
        <v>23.573990654156749</v>
      </c>
      <c r="J11">
        <v>32.677864608886978</v>
      </c>
      <c r="K11" s="2">
        <v>0</v>
      </c>
      <c r="L11">
        <v>5.9999999909110224</v>
      </c>
      <c r="M11">
        <v>24.65327670241172</v>
      </c>
    </row>
    <row r="12" spans="1:20" x14ac:dyDescent="0.2">
      <c r="A12" s="16">
        <v>10</v>
      </c>
      <c r="B12" s="5">
        <v>31.182488580000001</v>
      </c>
      <c r="C12">
        <v>31.274132205425509</v>
      </c>
      <c r="D12">
        <v>33.1031658738574</v>
      </c>
      <c r="E12" s="20">
        <v>0</v>
      </c>
      <c r="F12">
        <v>2.6654431003916672</v>
      </c>
      <c r="G12">
        <v>28.50137308568231</v>
      </c>
      <c r="H12">
        <v>33.219280949017893</v>
      </c>
      <c r="I12">
        <v>31.779380872428789</v>
      </c>
      <c r="J12">
        <v>32.584114609028987</v>
      </c>
      <c r="K12">
        <v>32.584114609028987</v>
      </c>
      <c r="L12" s="2">
        <v>0</v>
      </c>
      <c r="M12">
        <v>32.433720656908612</v>
      </c>
    </row>
    <row r="13" spans="1:20" x14ac:dyDescent="0.2">
      <c r="A13" s="16">
        <v>11</v>
      </c>
      <c r="B13" s="5">
        <v>24.43904822</v>
      </c>
      <c r="C13" s="20">
        <v>1.5630732009148851</v>
      </c>
      <c r="D13">
        <v>2.4633407591518521</v>
      </c>
      <c r="E13">
        <v>33.219280949017893</v>
      </c>
      <c r="F13">
        <v>29.692229823578771</v>
      </c>
      <c r="G13">
        <v>21.621905309297279</v>
      </c>
      <c r="H13">
        <v>0.38529015584062748</v>
      </c>
      <c r="I13">
        <v>24.516889250982771</v>
      </c>
      <c r="J13">
        <v>0.78220618682352216</v>
      </c>
      <c r="K13">
        <v>2.4633407591518521</v>
      </c>
      <c r="L13">
        <v>33.219280949017893</v>
      </c>
      <c r="M13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B552-D222-D944-AA0C-60A0FCCF6FC4}">
  <dimension ref="A1:V24"/>
  <sheetViews>
    <sheetView tabSelected="1" zoomScale="137" workbookViewId="0"/>
    <sheetView workbookViewId="1"/>
  </sheetViews>
  <sheetFormatPr baseColWidth="10" defaultRowHeight="15" x14ac:dyDescent="0.2"/>
  <cols>
    <col min="1" max="1" width="14.83203125" customWidth="1"/>
    <col min="2" max="9" width="5.5" customWidth="1"/>
    <col min="10" max="10" width="7.83203125" customWidth="1"/>
    <col min="11" max="11" width="8.1640625" customWidth="1"/>
    <col min="12" max="12" width="7.5" customWidth="1"/>
    <col min="13" max="13" width="6.1640625" customWidth="1"/>
    <col min="15" max="15" width="4.1640625" customWidth="1"/>
    <col min="16" max="16" width="11" customWidth="1"/>
    <col min="17" max="17" width="9.6640625" customWidth="1"/>
    <col min="18" max="18" width="11" bestFit="1" customWidth="1"/>
    <col min="19" max="20" width="11" customWidth="1"/>
    <col min="21" max="21" width="12.33203125" bestFit="1" customWidth="1"/>
    <col min="22" max="22" width="12.1640625" customWidth="1"/>
  </cols>
  <sheetData>
    <row r="1" spans="1:22" ht="35" customHeight="1" x14ac:dyDescent="0.2">
      <c r="A1" s="4" t="s">
        <v>27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P1" s="9">
        <v>3</v>
      </c>
      <c r="Q1" s="9">
        <v>9</v>
      </c>
      <c r="R1" s="6" t="s">
        <v>5</v>
      </c>
      <c r="S1" s="22" t="s">
        <v>25</v>
      </c>
      <c r="T1" s="22" t="s">
        <v>26</v>
      </c>
      <c r="U1" s="6" t="s">
        <v>4</v>
      </c>
      <c r="V1" s="7" t="s">
        <v>6</v>
      </c>
    </row>
    <row r="2" spans="1:22" x14ac:dyDescent="0.2">
      <c r="A2">
        <v>0</v>
      </c>
      <c r="B2" s="2"/>
      <c r="C2" s="5">
        <v>0.38745151999999999</v>
      </c>
      <c r="D2">
        <f xml:space="preserve"> 0.945815271</f>
        <v>0.94581527099999996</v>
      </c>
      <c r="E2">
        <v>0.60167079231986764</v>
      </c>
      <c r="F2">
        <v>0.37505516144940576</v>
      </c>
      <c r="G2">
        <v>0.59676075799999995</v>
      </c>
      <c r="H2">
        <v>0.500655077</v>
      </c>
      <c r="I2" s="12">
        <v>1.0382551289999999</v>
      </c>
      <c r="J2">
        <v>0.46412009799999998</v>
      </c>
      <c r="K2" s="13">
        <v>0.91279231299999997</v>
      </c>
      <c r="L2">
        <v>0.60167079199999995</v>
      </c>
      <c r="M2" s="10">
        <v>0.34988060900000001</v>
      </c>
      <c r="O2" s="3" t="s">
        <v>0</v>
      </c>
      <c r="P2" cm="1">
        <f t="array" ref="P2">INDEX(PPM!$B$2:$M$5, ROW(A1), MATCH(P$1, PPM!$B$1:$M$1, 0)) + 0.0000000001</f>
        <v>1.0000000001</v>
      </c>
      <c r="Q2" cm="1">
        <f t="array" ref="Q2">INDEX(PPM!$B$2:$M$5, ROW(B1), MATCH(Q$1, PPM!$B$1:$M$1, 0)) + 0.0000000001</f>
        <v>1.5625000100000001E-2</v>
      </c>
      <c r="R2" s="5">
        <f>AVERAGE(P2,Q2)</f>
        <v>0.50781250010000001</v>
      </c>
      <c r="S2" s="5">
        <f xml:space="preserve"> P2*LOG(P2, 2)</f>
        <v>1.4426951603302212E-10</v>
      </c>
      <c r="T2" s="5">
        <f xml:space="preserve"> Q2*LOG(Q2, 2)</f>
        <v>-9.3750000455730509E-2</v>
      </c>
      <c r="U2">
        <f xml:space="preserve"> R2*LOG(R2, 2)</f>
        <v>-0.49645384489998168</v>
      </c>
    </row>
    <row r="3" spans="1:22" x14ac:dyDescent="0.2">
      <c r="A3">
        <v>1</v>
      </c>
      <c r="B3" s="5" cm="1">
        <f t="array" ref="B3">INDEX($B$2:$M$13, COLUMN(A2), ROW(A2))</f>
        <v>0.38745151999999999</v>
      </c>
      <c r="C3" s="2"/>
      <c r="D3">
        <v>0.80600252400000005</v>
      </c>
      <c r="E3">
        <v>0.944073524</v>
      </c>
      <c r="F3">
        <v>0.94300772600000005</v>
      </c>
      <c r="G3" s="5">
        <v>0.43011038600000001</v>
      </c>
      <c r="H3" s="13">
        <v>1.7740252299999999</v>
      </c>
      <c r="I3">
        <v>0.41379671899999998</v>
      </c>
      <c r="J3" s="12">
        <v>1.7338225279999999</v>
      </c>
      <c r="K3">
        <v>0.831354963</v>
      </c>
      <c r="L3">
        <v>0.944073524</v>
      </c>
      <c r="M3" s="13">
        <v>1.300679519</v>
      </c>
      <c r="O3" s="3" t="s">
        <v>1</v>
      </c>
      <c r="P3" cm="1">
        <f t="array" ref="P3">INDEX(PPM!$B$2:$M$5, ROW(A2), MATCH(P$1, PPM!$B$1:$M$1, 0)) + 0.0000000001</f>
        <v>1E-10</v>
      </c>
      <c r="Q3" cm="1">
        <f t="array" ref="Q3">INDEX(PPM!$B$2:$M$5, ROW(B2), MATCH(Q$1, PPM!$B$1:$M$1, 0)) + 0.0000000001</f>
        <v>0.98437500010000001</v>
      </c>
      <c r="R3" s="5">
        <f t="shared" ref="R3:R5" si="0">AVERAGE(P3,Q3)</f>
        <v>0.49218750010000001</v>
      </c>
      <c r="S3" s="5">
        <f t="shared" ref="S3:S5" si="1" xml:space="preserve"> P3*LOG(P3, 2)</f>
        <v>-3.3219280948873626E-9</v>
      </c>
      <c r="T3" s="5">
        <f t="shared" ref="T3:T5" si="2" xml:space="preserve"> Q3*LOG(Q3, 2)</f>
        <v>-2.2365075162772221E-2</v>
      </c>
      <c r="U3">
        <f t="shared" ref="U3:U5" si="3" xml:space="preserve"> R3*LOG(R3, 2)</f>
        <v>-0.50337003761038746</v>
      </c>
    </row>
    <row r="4" spans="1:22" x14ac:dyDescent="0.2">
      <c r="A4">
        <v>2</v>
      </c>
      <c r="B4" s="5" cm="1">
        <f t="array" ref="B4">INDEX($B$2:$M$13, COLUMN(A3), ROW(A3))</f>
        <v>0.94581527099999996</v>
      </c>
      <c r="C4" s="5" cm="1">
        <f t="array" ref="C4">INDEX($B$2:$M$13, COLUMN(B3), ROW(B3))</f>
        <v>0.80600252400000005</v>
      </c>
      <c r="D4" s="2"/>
      <c r="E4">
        <v>0.94194245855622349</v>
      </c>
      <c r="F4">
        <v>0.71751021720520058</v>
      </c>
      <c r="G4">
        <v>0.52122605644552022</v>
      </c>
      <c r="H4">
        <v>0.94194245855622349</v>
      </c>
      <c r="I4">
        <v>0.984975614485744</v>
      </c>
      <c r="J4">
        <v>0.88388492366776417</v>
      </c>
      <c r="K4" s="12">
        <v>1.8682599204038386</v>
      </c>
      <c r="L4">
        <v>0.94194245855622349</v>
      </c>
      <c r="M4">
        <v>0.97954808599999998</v>
      </c>
      <c r="O4" s="3" t="s">
        <v>2</v>
      </c>
      <c r="P4" cm="1">
        <f t="array" ref="P4">INDEX(PPM!$B$2:$M$5, ROW(A3), MATCH(P$1, PPM!$B$1:$M$1, 0)) + 0.0000000001</f>
        <v>1E-10</v>
      </c>
      <c r="Q4" cm="1">
        <f t="array" ref="Q4">INDEX(PPM!$B$2:$M$5, ROW(B3), MATCH(Q$1, PPM!$B$1:$M$1, 0)) + 0.0000000001</f>
        <v>1E-10</v>
      </c>
      <c r="R4" s="5">
        <f t="shared" si="0"/>
        <v>1E-10</v>
      </c>
      <c r="S4" s="5">
        <f t="shared" si="1"/>
        <v>-3.3219280948873626E-9</v>
      </c>
      <c r="T4" s="5">
        <f t="shared" si="2"/>
        <v>-3.3219280948873626E-9</v>
      </c>
      <c r="U4">
        <f t="shared" si="3"/>
        <v>-3.3219280948873626E-9</v>
      </c>
    </row>
    <row r="5" spans="1:22" x14ac:dyDescent="0.2">
      <c r="A5">
        <v>3</v>
      </c>
      <c r="B5" s="5" cm="1">
        <f t="array" ref="B5">INDEX($B$2:$M$13, COLUMN(A4), ROW(A4))</f>
        <v>0.60167079231986764</v>
      </c>
      <c r="C5" s="5" cm="1">
        <f t="array" ref="C5">INDEX($B$2:$M$13, COLUMN(B4), ROW(B4))</f>
        <v>0.944073524</v>
      </c>
      <c r="D5" s="5" cm="1">
        <f t="array" ref="D5">INDEX($B$2:$M$13, COLUMN(C4), ROW(C4))</f>
        <v>0.94194245855622349</v>
      </c>
      <c r="E5" s="2"/>
      <c r="F5" s="13">
        <v>1.7270291352821832</v>
      </c>
      <c r="G5">
        <v>0.42898139485067821</v>
      </c>
      <c r="H5">
        <v>0.99999999344468282</v>
      </c>
      <c r="I5">
        <v>0.59780924559747062</v>
      </c>
      <c r="J5">
        <v>1.000176111</v>
      </c>
      <c r="K5">
        <v>1.0001761108457747</v>
      </c>
      <c r="L5" s="12">
        <v>1.9999999901784853</v>
      </c>
      <c r="M5">
        <v>0.60721985043626692</v>
      </c>
      <c r="O5" s="3" t="s">
        <v>3</v>
      </c>
      <c r="P5" cm="1">
        <f t="array" ref="P5">INDEX(PPM!$B$2:$M$5, ROW(A4), MATCH(P$1, PPM!$B$1:$M$1, 0)) + 0.0000000001</f>
        <v>1E-10</v>
      </c>
      <c r="Q5" cm="1">
        <f t="array" ref="Q5">INDEX(PPM!$B$2:$M$5, ROW(B4), MATCH(Q$1, PPM!$B$1:$M$1, 0)) + 0.0000000001</f>
        <v>1E-10</v>
      </c>
      <c r="R5" s="5">
        <f t="shared" si="0"/>
        <v>1E-10</v>
      </c>
      <c r="S5" s="5">
        <f t="shared" si="1"/>
        <v>-3.3219280948873626E-9</v>
      </c>
      <c r="T5" s="5">
        <f t="shared" si="2"/>
        <v>-3.3219280948873626E-9</v>
      </c>
      <c r="U5">
        <f t="shared" si="3"/>
        <v>-3.3219280948873626E-9</v>
      </c>
    </row>
    <row r="6" spans="1:22" x14ac:dyDescent="0.2">
      <c r="A6">
        <v>4</v>
      </c>
      <c r="B6" s="5" cm="1">
        <f t="array" ref="B6">INDEX($B$2:$M$13, COLUMN(A5), ROW(A5))</f>
        <v>0.37505516144940576</v>
      </c>
      <c r="C6" s="5" cm="1">
        <f t="array" ref="C6">INDEX($B$2:$M$13, COLUMN(B5), ROW(B5))</f>
        <v>0.94300772600000005</v>
      </c>
      <c r="D6" s="5" cm="1">
        <f t="array" ref="D6">INDEX($B$2:$M$13, COLUMN(C5), ROW(C5))</f>
        <v>0.71751021720520058</v>
      </c>
      <c r="E6" s="5" cm="1">
        <f t="array" ref="E6">INDEX($B$2:$M$13, COLUMN(D5), ROW(D5))</f>
        <v>1.7270291352821832</v>
      </c>
      <c r="F6" s="2"/>
      <c r="G6">
        <v>0.31750411260070321</v>
      </c>
      <c r="H6">
        <v>1.006349282</v>
      </c>
      <c r="I6">
        <v>0.37227649099999999</v>
      </c>
      <c r="J6">
        <v>1.0044072390000001</v>
      </c>
      <c r="K6">
        <v>0.77464335699999998</v>
      </c>
      <c r="L6" s="13">
        <v>1.727029135</v>
      </c>
      <c r="M6">
        <v>0.59641437900000005</v>
      </c>
      <c r="R6">
        <f xml:space="preserve"> SUM(R2:R5)</f>
        <v>1.0000000004</v>
      </c>
      <c r="S6" s="5">
        <f>2+SUM(S2:S5)</f>
        <v>1.9999999901784853</v>
      </c>
      <c r="T6" s="5">
        <f>2+SUM(T2:T5)</f>
        <v>1.8838849177376411</v>
      </c>
      <c r="U6" s="3">
        <f>-SUM(U2:U5)</f>
        <v>0.99982388915422526</v>
      </c>
      <c r="V6" s="11">
        <f xml:space="preserve"> 2 - U6</f>
        <v>1.0001761108457747</v>
      </c>
    </row>
    <row r="7" spans="1:22" x14ac:dyDescent="0.2">
      <c r="A7">
        <v>5</v>
      </c>
      <c r="B7" s="5" cm="1">
        <f t="array" ref="B7">INDEX($B$2:$M$13, COLUMN(A6), ROW(A6))</f>
        <v>0.59676075799999995</v>
      </c>
      <c r="C7" s="5" cm="1">
        <f t="array" ref="C7">INDEX($B$2:$M$13, COLUMN(B6), ROW(B6))</f>
        <v>0.43011038600000001</v>
      </c>
      <c r="D7" s="5" cm="1">
        <f t="array" ref="D7">INDEX($B$2:$M$13, COLUMN(C6), ROW(C6))</f>
        <v>0.52122605644552022</v>
      </c>
      <c r="E7" s="5" cm="1">
        <f t="array" ref="E7">INDEX($B$2:$M$13, COLUMN(D6), ROW(D6))</f>
        <v>0.42898139485067821</v>
      </c>
      <c r="F7" s="5" cm="1">
        <f t="array" ref="F7">INDEX($B$2:$M$13, COLUMN(E6), ROW(E6))</f>
        <v>0.31750411260070321</v>
      </c>
      <c r="G7" s="2"/>
      <c r="H7">
        <v>0.52851445699999999</v>
      </c>
      <c r="I7">
        <v>0.62406583999999998</v>
      </c>
      <c r="J7">
        <v>0.50116565400000002</v>
      </c>
      <c r="K7">
        <v>0.50116565400000002</v>
      </c>
      <c r="L7">
        <v>0.42898139499999999</v>
      </c>
      <c r="M7">
        <v>0.29768254</v>
      </c>
    </row>
    <row r="8" spans="1:22" x14ac:dyDescent="0.2">
      <c r="A8">
        <v>6</v>
      </c>
      <c r="B8" s="5" cm="1">
        <f t="array" ref="B8">INDEX($B$2:$M$13, COLUMN(A7), ROW(A7))</f>
        <v>0.500655077</v>
      </c>
      <c r="C8" s="5" cm="1">
        <f t="array" ref="C8">INDEX($B$2:$M$13, COLUMN(B7), ROW(B7))</f>
        <v>1.7740252299999999</v>
      </c>
      <c r="D8" s="5" cm="1">
        <f t="array" ref="D8">INDEX($B$2:$M$13, COLUMN(C7), ROW(C7))</f>
        <v>0.94194245855622349</v>
      </c>
      <c r="E8" s="5" cm="1">
        <f t="array" ref="E8">INDEX($B$2:$M$13, COLUMN(D7), ROW(D7))</f>
        <v>0.99999999344468282</v>
      </c>
      <c r="F8" s="5" cm="1">
        <f t="array" ref="F8">INDEX($B$2:$M$13, COLUMN(E7), ROW(E7))</f>
        <v>1.006349282</v>
      </c>
      <c r="G8" s="5" cm="1">
        <f t="array" ref="G8">INDEX($B$2:$M$13, COLUMN(F7), ROW(F7))</f>
        <v>0.52851445699999999</v>
      </c>
      <c r="H8" s="2"/>
      <c r="I8">
        <v>0.53957559300000002</v>
      </c>
      <c r="J8" s="13">
        <v>1.9340855809999999</v>
      </c>
      <c r="K8">
        <v>0.94194245899999995</v>
      </c>
      <c r="L8">
        <v>0.99999999299999998</v>
      </c>
      <c r="M8" s="13">
        <v>1.4787779750000001</v>
      </c>
    </row>
    <row r="9" spans="1:22" x14ac:dyDescent="0.2">
      <c r="A9">
        <v>7</v>
      </c>
      <c r="B9" s="5" cm="1">
        <f t="array" ref="B9">INDEX($B$2:$M$13, COLUMN(A8), ROW(A8))</f>
        <v>1.0382551289999999</v>
      </c>
      <c r="C9" s="5" cm="1">
        <f t="array" ref="C9">INDEX($B$2:$M$13, COLUMN(B8), ROW(B8))</f>
        <v>0.41379671899999998</v>
      </c>
      <c r="D9" s="5" cm="1">
        <f t="array" ref="D9">INDEX($B$2:$M$13, COLUMN(C8), ROW(C8))</f>
        <v>0.984975614485744</v>
      </c>
      <c r="E9" s="5" cm="1">
        <f t="array" ref="E9">INDEX($B$2:$M$13, COLUMN(D8), ROW(D8))</f>
        <v>0.59780924559747062</v>
      </c>
      <c r="F9" s="5" cm="1">
        <f t="array" ref="F9">INDEX($B$2:$M$13, COLUMN(E8), ROW(E8))</f>
        <v>0.37227649099999999</v>
      </c>
      <c r="G9" s="5" cm="1">
        <f t="array" ref="G9">INDEX($B$2:$M$13, COLUMN(F8), ROW(F8))</f>
        <v>0.62406583999999998</v>
      </c>
      <c r="H9" s="5" cm="1">
        <f t="array" ref="H9">INDEX($B$2:$M$13, COLUMN(G8), ROW(G8))</f>
        <v>0.53957559300000002</v>
      </c>
      <c r="I9" s="2"/>
      <c r="J9">
        <v>0.49714305600000003</v>
      </c>
      <c r="K9" s="13">
        <v>0.94581527099999996</v>
      </c>
      <c r="L9">
        <v>0.59780924599999996</v>
      </c>
      <c r="M9">
        <v>0.388801124</v>
      </c>
    </row>
    <row r="10" spans="1:22" x14ac:dyDescent="0.2">
      <c r="A10">
        <v>8</v>
      </c>
      <c r="B10" s="5" cm="1">
        <f t="array" ref="B10">INDEX($B$2:$M$13, COLUMN(A9), ROW(A9))</f>
        <v>0.46412009799999998</v>
      </c>
      <c r="C10" s="5" cm="1">
        <f t="array" ref="C10">INDEX($B$2:$M$13, COLUMN(B9), ROW(B9))</f>
        <v>1.7338225279999999</v>
      </c>
      <c r="D10" s="5" cm="1">
        <f t="array" ref="D10">INDEX($B$2:$M$13, COLUMN(C9), ROW(C9))</f>
        <v>0.88388492366776417</v>
      </c>
      <c r="E10" s="5" cm="1">
        <f t="array" ref="E10">INDEX($B$2:$M$13, COLUMN(D9), ROW(D9))</f>
        <v>1.000176111</v>
      </c>
      <c r="F10" s="5" cm="1">
        <f t="array" ref="F10">INDEX($B$2:$M$13, COLUMN(E9), ROW(E9))</f>
        <v>1.0044072390000001</v>
      </c>
      <c r="G10" s="5" cm="1">
        <f t="array" ref="G10">INDEX($B$2:$M$13, COLUMN(F9), ROW(F9))</f>
        <v>0.50116565400000002</v>
      </c>
      <c r="H10" s="5" cm="1">
        <f t="array" ref="H10">INDEX($B$2:$M$13, COLUMN(G9), ROW(G9))</f>
        <v>1.9340855809999999</v>
      </c>
      <c r="I10" s="5" cm="1">
        <f t="array" ref="I10">INDEX($B$2:$M$13, COLUMN(H9), ROW(H9))</f>
        <v>0.49714305600000003</v>
      </c>
      <c r="J10" s="2"/>
      <c r="K10" s="5">
        <v>0.89950992100000005</v>
      </c>
      <c r="L10">
        <v>1.000176111</v>
      </c>
      <c r="M10" s="13">
        <v>1.414274295</v>
      </c>
    </row>
    <row r="11" spans="1:22" x14ac:dyDescent="0.2">
      <c r="A11">
        <v>9</v>
      </c>
      <c r="B11" s="5" cm="1">
        <f t="array" ref="B11">INDEX($B$2:$M$13, COLUMN(A10), ROW(A10))</f>
        <v>0.91279231299999997</v>
      </c>
      <c r="C11" s="5" cm="1">
        <f t="array" ref="C11">INDEX($B$2:$M$13, COLUMN(B10), ROW(B10))</f>
        <v>0.831354963</v>
      </c>
      <c r="D11" s="5" cm="1">
        <f t="array" ref="D11">INDEX($B$2:$M$13, COLUMN(C10), ROW(C10))</f>
        <v>1.8682599204038386</v>
      </c>
      <c r="E11" s="5" cm="1">
        <f t="array" ref="E11">INDEX($B$2:$M$13, COLUMN(D10), ROW(D10))</f>
        <v>1.0001761108457747</v>
      </c>
      <c r="F11" s="5" cm="1">
        <f t="array" ref="F11">INDEX($B$2:$M$13, COLUMN(E10), ROW(E10))</f>
        <v>0.77464335699999998</v>
      </c>
      <c r="G11" s="5" cm="1">
        <f t="array" ref="G11">INDEX($B$2:$M$13, COLUMN(F10), ROW(F10))</f>
        <v>0.50116565400000002</v>
      </c>
      <c r="H11" s="5" cm="1">
        <f t="array" ref="H11">INDEX($B$2:$M$13, COLUMN(G10), ROW(G10))</f>
        <v>0.94194245899999995</v>
      </c>
      <c r="I11" s="5" cm="1">
        <f t="array" ref="I11">INDEX($B$2:$M$13, COLUMN(H10), ROW(H10))</f>
        <v>0.94581527099999996</v>
      </c>
      <c r="J11" s="5" cm="1">
        <f t="array" ref="J11">INDEX($B$2:$M$13, COLUMN(I10), ROW(I10))</f>
        <v>0.89950992100000005</v>
      </c>
      <c r="K11" s="2"/>
      <c r="L11">
        <v>1.000176111</v>
      </c>
      <c r="M11">
        <v>0.97954808599999998</v>
      </c>
    </row>
    <row r="12" spans="1:22" x14ac:dyDescent="0.2">
      <c r="A12">
        <v>10</v>
      </c>
      <c r="B12" s="5" cm="1">
        <f t="array" ref="B12">INDEX($B$2:$M$13, COLUMN(A11), ROW(A11))</f>
        <v>0.60167079199999995</v>
      </c>
      <c r="C12" s="5" cm="1">
        <f t="array" ref="C12">INDEX($B$2:$M$13, COLUMN(B11), ROW(B11))</f>
        <v>0.944073524</v>
      </c>
      <c r="D12" s="5" cm="1">
        <f t="array" ref="D12">INDEX($B$2:$M$13, COLUMN(C11), ROW(C11))</f>
        <v>0.94194245855622349</v>
      </c>
      <c r="E12" s="5" cm="1">
        <f t="array" ref="E12">INDEX($B$2:$M$13, COLUMN(D11), ROW(D11))</f>
        <v>1.9999999901784853</v>
      </c>
      <c r="F12" s="5" cm="1">
        <f t="array" ref="F12">INDEX($B$2:$M$13, COLUMN(E11), ROW(E11))</f>
        <v>1.727029135</v>
      </c>
      <c r="G12" s="5" cm="1">
        <f t="array" ref="G12">INDEX($B$2:$M$13, COLUMN(F11), ROW(F11))</f>
        <v>0.42898139499999999</v>
      </c>
      <c r="H12" s="5" cm="1">
        <f t="array" ref="H12">INDEX($B$2:$M$13, COLUMN(G11), ROW(G11))</f>
        <v>0.99999999299999998</v>
      </c>
      <c r="I12" s="5" cm="1">
        <f t="array" ref="I12">INDEX($B$2:$M$13, COLUMN(H11), ROW(H11))</f>
        <v>0.59780924599999996</v>
      </c>
      <c r="J12" s="5" cm="1">
        <f t="array" ref="J12">INDEX($B$2:$M$13, COLUMN(I11), ROW(I11))</f>
        <v>1.000176111</v>
      </c>
      <c r="K12" s="5" cm="1">
        <f t="array" ref="K12">INDEX($B$2:$M$13, COLUMN(J11), ROW(J11))</f>
        <v>1.000176111</v>
      </c>
      <c r="L12" s="2"/>
      <c r="M12">
        <v>0.60721985000000001</v>
      </c>
    </row>
    <row r="13" spans="1:22" x14ac:dyDescent="0.2">
      <c r="A13">
        <v>11</v>
      </c>
      <c r="B13" s="5" cm="1">
        <f t="array" ref="B13">INDEX($B$2:$M$13, COLUMN(A12), ROW(A12))</f>
        <v>0.34988060900000001</v>
      </c>
      <c r="C13" s="5" cm="1">
        <f t="array" ref="C13">INDEX($B$2:$M$13, COLUMN(B12), ROW(B12))</f>
        <v>1.300679519</v>
      </c>
      <c r="D13" s="5" cm="1">
        <f t="array" ref="D13">INDEX($B$2:$M$13, COLUMN(C12), ROW(C12))</f>
        <v>0.97954808599999998</v>
      </c>
      <c r="E13" s="5" cm="1">
        <f t="array" ref="E13">INDEX($B$2:$M$13, COLUMN(D12), ROW(D12))</f>
        <v>0.60721985043626692</v>
      </c>
      <c r="F13" s="5" cm="1">
        <f t="array" ref="F13">INDEX($B$2:$M$13, COLUMN(E12), ROW(E12))</f>
        <v>0.59641437900000005</v>
      </c>
      <c r="G13" s="5" cm="1">
        <f t="array" ref="G13">INDEX($B$2:$M$13, COLUMN(F12), ROW(F12))</f>
        <v>0.29768254</v>
      </c>
      <c r="H13" s="5" cm="1">
        <f t="array" ref="H13">INDEX($B$2:$M$13, COLUMN(G12), ROW(G12))</f>
        <v>1.4787779750000001</v>
      </c>
      <c r="I13" s="5" cm="1">
        <f t="array" ref="I13">INDEX($B$2:$M$13, COLUMN(H12), ROW(H12))</f>
        <v>0.388801124</v>
      </c>
      <c r="J13" s="5" cm="1">
        <f t="array" ref="J13">INDEX($B$2:$M$13, COLUMN(I12), ROW(I12))</f>
        <v>1.414274295</v>
      </c>
      <c r="K13" s="5" cm="1">
        <f t="array" ref="K13">INDEX($B$2:$M$13, COLUMN(J12), ROW(J12))</f>
        <v>0.97954808599999998</v>
      </c>
      <c r="L13" s="5" cm="1">
        <f t="array" ref="L13">INDEX($B$2:$M$13, COLUMN(K12), ROW(K12))</f>
        <v>0.60721985000000001</v>
      </c>
      <c r="M13" s="2"/>
    </row>
    <row r="16" spans="1:22" ht="32" x14ac:dyDescent="0.2">
      <c r="A16" s="14" t="s">
        <v>10</v>
      </c>
      <c r="B16" t="s">
        <v>7</v>
      </c>
      <c r="C16" t="s">
        <v>8</v>
      </c>
      <c r="D16" t="s">
        <v>9</v>
      </c>
      <c r="L16" s="23"/>
    </row>
    <row r="17" spans="1:12" x14ac:dyDescent="0.2">
      <c r="A17" t="s">
        <v>11</v>
      </c>
      <c r="B17">
        <v>0</v>
      </c>
      <c r="C17">
        <v>9</v>
      </c>
      <c r="D17" s="5" t="s">
        <v>13</v>
      </c>
      <c r="L17" s="23"/>
    </row>
    <row r="18" spans="1:12" x14ac:dyDescent="0.2">
      <c r="A18" t="s">
        <v>12</v>
      </c>
      <c r="B18">
        <v>1</v>
      </c>
      <c r="C18">
        <v>6</v>
      </c>
      <c r="D18" t="s">
        <v>13</v>
      </c>
    </row>
    <row r="19" spans="1:12" x14ac:dyDescent="0.2">
      <c r="A19" t="s">
        <v>12</v>
      </c>
      <c r="B19">
        <v>1</v>
      </c>
      <c r="C19">
        <v>11</v>
      </c>
      <c r="D19" t="s">
        <v>13</v>
      </c>
    </row>
    <row r="20" spans="1:12" x14ac:dyDescent="0.2">
      <c r="A20" t="s">
        <v>14</v>
      </c>
      <c r="B20">
        <v>3</v>
      </c>
      <c r="C20">
        <v>4</v>
      </c>
      <c r="D20" t="s">
        <v>13</v>
      </c>
    </row>
    <row r="21" spans="1:12" x14ac:dyDescent="0.2">
      <c r="A21" t="s">
        <v>14</v>
      </c>
      <c r="B21">
        <v>4</v>
      </c>
      <c r="C21">
        <v>10</v>
      </c>
    </row>
    <row r="22" spans="1:12" x14ac:dyDescent="0.2">
      <c r="A22" t="s">
        <v>12</v>
      </c>
      <c r="B22">
        <v>6</v>
      </c>
      <c r="C22">
        <v>8</v>
      </c>
    </row>
    <row r="23" spans="1:12" x14ac:dyDescent="0.2">
      <c r="A23" t="s">
        <v>12</v>
      </c>
      <c r="B23">
        <v>6</v>
      </c>
      <c r="C23">
        <v>11</v>
      </c>
    </row>
    <row r="24" spans="1:12" x14ac:dyDescent="0.2">
      <c r="A24" t="s">
        <v>11</v>
      </c>
      <c r="B24">
        <v>7</v>
      </c>
      <c r="C24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5F5A-7234-5647-851D-0D6A6A07A661}">
  <dimension ref="A1:T13"/>
  <sheetViews>
    <sheetView zoomScale="138" workbookViewId="0">
      <selection activeCell="G3" sqref="G3"/>
    </sheetView>
    <sheetView tabSelected="1" zoomScale="140" workbookViewId="1">
      <selection activeCell="E16" sqref="E16"/>
    </sheetView>
  </sheetViews>
  <sheetFormatPr baseColWidth="10" defaultRowHeight="15" x14ac:dyDescent="0.2"/>
  <cols>
    <col min="1" max="1" width="10.33203125" customWidth="1"/>
    <col min="2" max="9" width="5.5" customWidth="1"/>
    <col min="10" max="10" width="7.83203125" customWidth="1"/>
    <col min="11" max="11" width="8.1640625" customWidth="1"/>
    <col min="12" max="12" width="7.5" customWidth="1"/>
    <col min="13" max="13" width="6.1640625" customWidth="1"/>
    <col min="15" max="15" width="4.1640625" customWidth="1"/>
    <col min="16" max="16" width="11" customWidth="1"/>
    <col min="17" max="17" width="9.6640625" customWidth="1"/>
    <col min="18" max="18" width="11" bestFit="1" customWidth="1"/>
    <col min="19" max="19" width="12.33203125" bestFit="1" customWidth="1"/>
    <col min="20" max="20" width="12.1640625" customWidth="1"/>
  </cols>
  <sheetData>
    <row r="1" spans="1:20" ht="48" x14ac:dyDescent="0.2">
      <c r="A1" s="4" t="s">
        <v>24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P1" s="9">
        <v>3</v>
      </c>
      <c r="Q1" s="9">
        <v>9</v>
      </c>
      <c r="R1" s="6" t="s">
        <v>23</v>
      </c>
      <c r="S1" s="6"/>
      <c r="T1" s="7"/>
    </row>
    <row r="2" spans="1:20" x14ac:dyDescent="0.2">
      <c r="A2">
        <v>0</v>
      </c>
      <c r="B2" s="2"/>
      <c r="C2" s="5">
        <v>-0.53587699799999999</v>
      </c>
      <c r="D2">
        <v>1.5031991999999999E-2</v>
      </c>
      <c r="E2">
        <v>-0.43965200500000001</v>
      </c>
      <c r="F2">
        <v>-0.50661061399999996</v>
      </c>
      <c r="G2" s="12">
        <v>0.95141007099999997</v>
      </c>
      <c r="H2">
        <v>-0.50245943400000004</v>
      </c>
      <c r="I2" s="21">
        <v>0.99980301599999999</v>
      </c>
      <c r="J2">
        <v>-0.51208986300000003</v>
      </c>
      <c r="K2" s="24">
        <v>-7.01493E-3</v>
      </c>
      <c r="L2">
        <v>-0.43965200500000001</v>
      </c>
      <c r="M2" s="10">
        <v>-0.53271688299999997</v>
      </c>
      <c r="O2" s="3" t="s">
        <v>0</v>
      </c>
      <c r="P2" cm="1">
        <f t="array" ref="P2">INDEX(PPM!$B$2:$M$5, ROW(A1), MATCH(P$1, PPM!$B$1:$M$1, 0)) + 0.0000000001</f>
        <v>1.0000000001</v>
      </c>
      <c r="Q2" cm="1">
        <f t="array" ref="Q2">INDEX(PPM!$B$2:$M$5, ROW(B1), MATCH(Q$1, PPM!$B$1:$M$1, 0)) + 0.0000000001</f>
        <v>1.5625000100000001E-2</v>
      </c>
      <c r="R2" s="5"/>
    </row>
    <row r="3" spans="1:20" x14ac:dyDescent="0.2">
      <c r="A3">
        <v>1</v>
      </c>
      <c r="B3" s="5" cm="1">
        <f t="array" ref="B3">INDEX($B$2:$M$13, COLUMN(A2), ROW(A2))</f>
        <v>-0.53587699799999999</v>
      </c>
      <c r="C3" s="2"/>
      <c r="D3">
        <v>-0.3481711293029694</v>
      </c>
      <c r="E3">
        <v>-0.29518783809240762</v>
      </c>
      <c r="F3">
        <v>-0.19767811977548069</v>
      </c>
      <c r="G3">
        <v>-0.30403879734200751</v>
      </c>
      <c r="H3" s="12">
        <v>0.99909729815891835</v>
      </c>
      <c r="I3">
        <v>-0.52043820617740066</v>
      </c>
      <c r="J3" s="12">
        <v>0.99958808090207341</v>
      </c>
      <c r="K3">
        <v>-0.34708422671409428</v>
      </c>
      <c r="L3">
        <v>-0.29518783809240762</v>
      </c>
      <c r="M3" s="12">
        <v>0.94871716359144431</v>
      </c>
      <c r="O3" s="3" t="s">
        <v>1</v>
      </c>
      <c r="P3" cm="1">
        <f t="array" ref="P3">INDEX(PPM!$B$2:$M$5, ROW(A2), MATCH(P$1, PPM!$B$1:$M$1, 0)) + 0.0000000001</f>
        <v>1E-10</v>
      </c>
      <c r="Q3" cm="1">
        <f t="array" ref="Q3">INDEX(PPM!$B$2:$M$5, ROW(B2), MATCH(Q$1, PPM!$B$1:$M$1, 0)) + 0.0000000001</f>
        <v>0.98437500010000001</v>
      </c>
      <c r="R3" s="5"/>
    </row>
    <row r="4" spans="1:20" x14ac:dyDescent="0.2">
      <c r="A4">
        <v>2</v>
      </c>
      <c r="B4" s="5" cm="1">
        <f t="array" ref="B4">INDEX($B$2:$M$13, COLUMN(A3), ROW(A3))</f>
        <v>1.5031991999999999E-2</v>
      </c>
      <c r="C4" s="5" cm="1">
        <f t="array" ref="C4">INDEX($B$2:$M$13, COLUMN(B3), ROW(B3))</f>
        <v>-0.3481711293029694</v>
      </c>
      <c r="D4" s="2"/>
      <c r="E4">
        <v>-0.34038701134538812</v>
      </c>
      <c r="F4">
        <v>-0.38704402483723771</v>
      </c>
      <c r="G4">
        <v>-0.25608356496295148</v>
      </c>
      <c r="H4">
        <v>-0.34038701134538812</v>
      </c>
      <c r="I4">
        <v>1.5040514489777961E-2</v>
      </c>
      <c r="J4">
        <v>-0.34758995247793623</v>
      </c>
      <c r="K4" s="12">
        <v>0.99966055668703313</v>
      </c>
      <c r="L4">
        <v>-0.34038701134538812</v>
      </c>
      <c r="M4">
        <v>-3.6364654371126022E-2</v>
      </c>
      <c r="O4" s="3" t="s">
        <v>2</v>
      </c>
      <c r="P4" cm="1">
        <f t="array" ref="P4">INDEX(PPM!$B$2:$M$5, ROW(A3), MATCH(P$1, PPM!$B$1:$M$1, 0)) + 0.0000000001</f>
        <v>1E-10</v>
      </c>
      <c r="Q4" cm="1">
        <f t="array" ref="Q4">INDEX(PPM!$B$2:$M$5, ROW(B3), MATCH(Q$1, PPM!$B$1:$M$1, 0)) + 0.0000000001</f>
        <v>1E-10</v>
      </c>
      <c r="R4" s="5"/>
    </row>
    <row r="5" spans="1:20" x14ac:dyDescent="0.2">
      <c r="A5">
        <v>3</v>
      </c>
      <c r="B5" s="5" cm="1">
        <f t="array" ref="B5">INDEX($B$2:$M$13, COLUMN(A4), ROW(A4))</f>
        <v>-0.43965200500000001</v>
      </c>
      <c r="C5" s="5" cm="1">
        <f t="array" ref="C5">INDEX($B$2:$M$13, COLUMN(B4), ROW(B4))</f>
        <v>-0.29518783809240762</v>
      </c>
      <c r="D5" s="5" cm="1">
        <f t="array" ref="D5">INDEX($B$2:$M$13, COLUMN(C4), ROW(C4))</f>
        <v>-0.34038701134538812</v>
      </c>
      <c r="E5" s="2"/>
      <c r="F5" s="12">
        <v>0.99493667632618188</v>
      </c>
      <c r="G5">
        <v>-0.45083481733371611</v>
      </c>
      <c r="H5">
        <v>-0.33333333333333331</v>
      </c>
      <c r="I5">
        <v>-0.45611882530944092</v>
      </c>
      <c r="J5">
        <v>-0.31911282313630129</v>
      </c>
      <c r="K5">
        <v>-0.31911282313630129</v>
      </c>
      <c r="L5" s="12">
        <v>0.99999999999999944</v>
      </c>
      <c r="M5">
        <v>-0.46159181056844312</v>
      </c>
      <c r="O5" s="3" t="s">
        <v>3</v>
      </c>
      <c r="P5" cm="1">
        <f t="array" ref="P5">INDEX(PPM!$B$2:$M$5, ROW(A4), MATCH(P$1, PPM!$B$1:$M$1, 0)) + 0.0000000001</f>
        <v>1E-10</v>
      </c>
      <c r="Q5" cm="1">
        <f t="array" ref="Q5">INDEX(PPM!$B$2:$M$5, ROW(B4), MATCH(Q$1, PPM!$B$1:$M$1, 0)) + 0.0000000001</f>
        <v>1E-10</v>
      </c>
      <c r="R5" s="5"/>
    </row>
    <row r="6" spans="1:20" x14ac:dyDescent="0.2">
      <c r="A6">
        <v>4</v>
      </c>
      <c r="B6" s="5" cm="1">
        <f t="array" ref="B6">INDEX($B$2:$M$13, COLUMN(A5), ROW(A5))</f>
        <v>-0.50661061399999996</v>
      </c>
      <c r="C6" s="5" cm="1">
        <f t="array" ref="C6">INDEX($B$2:$M$13, COLUMN(B5), ROW(B5))</f>
        <v>-0.19767811977548069</v>
      </c>
      <c r="D6" s="5" cm="1">
        <f t="array" ref="D6">INDEX($B$2:$M$13, COLUMN(C5), ROW(C5))</f>
        <v>-0.38704402483723771</v>
      </c>
      <c r="E6" s="5" cm="1">
        <f t="array" ref="E6">INDEX($B$2:$M$13, COLUMN(D5), ROW(D5))</f>
        <v>0.99493667632618188</v>
      </c>
      <c r="F6" s="2"/>
      <c r="G6">
        <v>-0.49340730420314183</v>
      </c>
      <c r="H6">
        <v>-0.23688968483956721</v>
      </c>
      <c r="I6">
        <v>-0.52188075027265435</v>
      </c>
      <c r="J6">
        <v>-0.22224793613700761</v>
      </c>
      <c r="K6">
        <v>-0.36512160936794091</v>
      </c>
      <c r="L6" s="12">
        <v>0.99493667632618188</v>
      </c>
      <c r="M6">
        <v>-0.37416950215763012</v>
      </c>
      <c r="R6">
        <f>CORREL(P2:P5, Q2:Q5)</f>
        <v>-0.3191128231363014</v>
      </c>
      <c r="S6" s="3"/>
    </row>
    <row r="7" spans="1:20" x14ac:dyDescent="0.2">
      <c r="A7">
        <v>5</v>
      </c>
      <c r="B7" s="5" cm="1">
        <f t="array" ref="B7">INDEX($B$2:$M$13, COLUMN(A6), ROW(A6))</f>
        <v>0.95141007099999997</v>
      </c>
      <c r="C7" s="5" cm="1">
        <f t="array" ref="C7">INDEX($B$2:$M$13, COLUMN(B6), ROW(B6))</f>
        <v>-0.30403879734200751</v>
      </c>
      <c r="D7" s="5" cm="1">
        <f t="array" ref="D7">INDEX($B$2:$M$13, COLUMN(C6), ROW(C6))</f>
        <v>-0.25608356496295148</v>
      </c>
      <c r="E7" s="5" cm="1">
        <f t="array" ref="E7">INDEX($B$2:$M$13, COLUMN(D6), ROW(D6))</f>
        <v>-0.45083481733371611</v>
      </c>
      <c r="F7" s="5" cm="1">
        <f t="array" ref="F7">INDEX($B$2:$M$13, COLUMN(E6), ROW(E6))</f>
        <v>-0.49340730420314183</v>
      </c>
      <c r="G7" s="2"/>
      <c r="H7">
        <v>-0.27050089040022968</v>
      </c>
      <c r="I7" s="12">
        <v>0.95414290742954877</v>
      </c>
      <c r="J7">
        <v>-0.27910231237535182</v>
      </c>
      <c r="K7">
        <v>-0.27910231237535171</v>
      </c>
      <c r="L7">
        <v>-0.45083481733371611</v>
      </c>
      <c r="M7">
        <v>-0.37458298728065398</v>
      </c>
    </row>
    <row r="8" spans="1:20" x14ac:dyDescent="0.2">
      <c r="A8">
        <v>6</v>
      </c>
      <c r="B8" s="5" cm="1">
        <f t="array" ref="B8">INDEX($B$2:$M$13, COLUMN(A7), ROW(A7))</f>
        <v>-0.50245943400000004</v>
      </c>
      <c r="C8" s="5" cm="1">
        <f t="array" ref="C8">INDEX($B$2:$M$13, COLUMN(B7), ROW(B7))</f>
        <v>0.99909729815891835</v>
      </c>
      <c r="D8" s="5" cm="1">
        <f t="array" ref="D8">INDEX($B$2:$M$13, COLUMN(C7), ROW(C7))</f>
        <v>-0.34038701134538812</v>
      </c>
      <c r="E8" s="5" cm="1">
        <f t="array" ref="E8">INDEX($B$2:$M$13, COLUMN(D7), ROW(D7))</f>
        <v>-0.33333333333333331</v>
      </c>
      <c r="F8" s="5" cm="1">
        <f t="array" ref="F8">INDEX($B$2:$M$13, COLUMN(E7), ROW(E7))</f>
        <v>-0.23688968483956721</v>
      </c>
      <c r="G8" s="5" cm="1">
        <f t="array" ref="G8">INDEX($B$2:$M$13, COLUMN(F7), ROW(F7))</f>
        <v>-0.27050089040022968</v>
      </c>
      <c r="H8" s="2"/>
      <c r="I8">
        <v>-0.48652674699673709</v>
      </c>
      <c r="J8" s="12">
        <v>0.99988684582707787</v>
      </c>
      <c r="K8">
        <v>-0.34038701134538812</v>
      </c>
      <c r="L8">
        <v>-0.33333333333333331</v>
      </c>
      <c r="M8" s="12">
        <v>0.95203310929741403</v>
      </c>
    </row>
    <row r="9" spans="1:20" x14ac:dyDescent="0.2">
      <c r="A9">
        <v>7</v>
      </c>
      <c r="B9" s="5" cm="1">
        <f t="array" ref="B9">INDEX($B$2:$M$13, COLUMN(A8), ROW(A8))</f>
        <v>0.99980301599999999</v>
      </c>
      <c r="C9" s="5" cm="1">
        <f t="array" ref="C9">INDEX($B$2:$M$13, COLUMN(B8), ROW(B8))</f>
        <v>-0.52043820617740066</v>
      </c>
      <c r="D9" s="5" cm="1">
        <f t="array" ref="D9">INDEX($B$2:$M$13, COLUMN(C8), ROW(C8))</f>
        <v>1.5040514489777961E-2</v>
      </c>
      <c r="E9" s="5" cm="1">
        <f t="array" ref="E9">INDEX($B$2:$M$13, COLUMN(D8), ROW(D8))</f>
        <v>-0.45611882530944092</v>
      </c>
      <c r="F9" s="5" cm="1">
        <f t="array" ref="F9">INDEX($B$2:$M$13, COLUMN(E8), ROW(E8))</f>
        <v>-0.52188075027265435</v>
      </c>
      <c r="G9" s="5" cm="1">
        <f t="array" ref="G9">INDEX($B$2:$M$13, COLUMN(F8), ROW(F8))</f>
        <v>0.95414290742954877</v>
      </c>
      <c r="H9" s="5" cm="1">
        <f t="array" ref="H9">INDEX($B$2:$M$13, COLUMN(G8), ROW(G8))</f>
        <v>-0.48652674699673709</v>
      </c>
      <c r="I9" s="2"/>
      <c r="J9">
        <v>-0.49633697816267242</v>
      </c>
      <c r="K9">
        <v>-7.2776683015054466E-3</v>
      </c>
      <c r="L9">
        <v>-0.45611882530944092</v>
      </c>
      <c r="M9">
        <v>-0.51582475030189401</v>
      </c>
    </row>
    <row r="10" spans="1:20" x14ac:dyDescent="0.2">
      <c r="A10">
        <v>8</v>
      </c>
      <c r="B10" s="5" cm="1">
        <f t="array" ref="B10">INDEX($B$2:$M$13, COLUMN(A9), ROW(A9))</f>
        <v>-0.51208986300000003</v>
      </c>
      <c r="C10" s="5" cm="1">
        <f t="array" ref="C10">INDEX($B$2:$M$13, COLUMN(B9), ROW(B9))</f>
        <v>0.99958808090207341</v>
      </c>
      <c r="D10" s="5" cm="1">
        <f t="array" ref="D10">INDEX($B$2:$M$13, COLUMN(C9), ROW(C9))</f>
        <v>-0.34758995247793623</v>
      </c>
      <c r="E10" s="5" cm="1">
        <f t="array" ref="E10">INDEX($B$2:$M$13, COLUMN(D9), ROW(D9))</f>
        <v>-0.31911282313630129</v>
      </c>
      <c r="F10" s="5" cm="1">
        <f t="array" ref="F10">INDEX($B$2:$M$13, COLUMN(E9), ROW(E9))</f>
        <v>-0.22224793613700761</v>
      </c>
      <c r="G10" s="5" cm="1">
        <f t="array" ref="G10">INDEX($B$2:$M$13, COLUMN(F9), ROW(F9))</f>
        <v>-0.27910231237535182</v>
      </c>
      <c r="H10" s="5" cm="1">
        <f t="array" ref="H10">INDEX($B$2:$M$13, COLUMN(G9), ROW(G9))</f>
        <v>0.99988684582707787</v>
      </c>
      <c r="I10" s="5" cm="1">
        <f t="array" ref="I10">INDEX($B$2:$M$13, COLUMN(H9), ROW(H9))</f>
        <v>-0.49633697816267242</v>
      </c>
      <c r="J10" s="2"/>
      <c r="K10">
        <v>-0.34725050916496952</v>
      </c>
      <c r="L10">
        <v>-0.31911282313630129</v>
      </c>
      <c r="M10" s="12">
        <v>0.94962382237510101</v>
      </c>
    </row>
    <row r="11" spans="1:20" x14ac:dyDescent="0.2">
      <c r="A11">
        <v>9</v>
      </c>
      <c r="B11" s="5" cm="1">
        <f t="array" ref="B11">INDEX($B$2:$M$13, COLUMN(A10), ROW(A10))</f>
        <v>-7.01493E-3</v>
      </c>
      <c r="C11" s="5" cm="1">
        <f t="array" ref="C11">INDEX($B$2:$M$13, COLUMN(B10), ROW(B10))</f>
        <v>-0.34708422671409428</v>
      </c>
      <c r="D11" s="5" cm="1">
        <f t="array" ref="D11">INDEX($B$2:$M$13, COLUMN(C10), ROW(C10))</f>
        <v>0.99966055668703313</v>
      </c>
      <c r="E11" s="5" cm="1">
        <f t="array" ref="E11">INDEX($B$2:$M$13, COLUMN(D10), ROW(D10))</f>
        <v>-0.31911282313630129</v>
      </c>
      <c r="F11" s="5" cm="1">
        <f t="array" ref="F11">INDEX($B$2:$M$13, COLUMN(E10), ROW(E10))</f>
        <v>-0.36512160936794091</v>
      </c>
      <c r="G11" s="5" cm="1">
        <f t="array" ref="G11">INDEX($B$2:$M$13, COLUMN(F10), ROW(F10))</f>
        <v>-0.27910231237535171</v>
      </c>
      <c r="H11" s="5" cm="1">
        <f t="array" ref="H11">INDEX($B$2:$M$13, COLUMN(G10), ROW(G10))</f>
        <v>-0.34038701134538812</v>
      </c>
      <c r="I11" s="5" cm="1">
        <f t="array" ref="I11">INDEX($B$2:$M$13, COLUMN(H10), ROW(H10))</f>
        <v>-7.2776683015054466E-3</v>
      </c>
      <c r="J11" s="5" cm="1">
        <f t="array" ref="J11">INDEX($B$2:$M$13, COLUMN(I10), ROW(I10))</f>
        <v>-0.34725050916496952</v>
      </c>
      <c r="K11" s="2"/>
      <c r="L11">
        <v>-0.31911282313630129</v>
      </c>
      <c r="M11">
        <v>-3.6364654371126022E-2</v>
      </c>
    </row>
    <row r="12" spans="1:20" x14ac:dyDescent="0.2">
      <c r="A12">
        <v>10</v>
      </c>
      <c r="B12" s="5" cm="1">
        <f t="array" ref="B12">INDEX($B$2:$M$13, COLUMN(A11), ROW(A11))</f>
        <v>-0.43965200500000001</v>
      </c>
      <c r="C12" s="5" cm="1">
        <f t="array" ref="C12">INDEX($B$2:$M$13, COLUMN(B11), ROW(B11))</f>
        <v>-0.29518783809240762</v>
      </c>
      <c r="D12" s="5" cm="1">
        <f t="array" ref="D12">INDEX($B$2:$M$13, COLUMN(C11), ROW(C11))</f>
        <v>-0.34038701134538812</v>
      </c>
      <c r="E12" s="5" cm="1">
        <f t="array" ref="E12">INDEX($B$2:$M$13, COLUMN(D11), ROW(D11))</f>
        <v>0.99999999999999944</v>
      </c>
      <c r="F12" s="5" cm="1">
        <f t="array" ref="F12">INDEX($B$2:$M$13, COLUMN(E11), ROW(E11))</f>
        <v>0.99493667632618188</v>
      </c>
      <c r="G12" s="5" cm="1">
        <f t="array" ref="G12">INDEX($B$2:$M$13, COLUMN(F11), ROW(F11))</f>
        <v>-0.45083481733371611</v>
      </c>
      <c r="H12" s="5" cm="1">
        <f t="array" ref="H12">INDEX($B$2:$M$13, COLUMN(G11), ROW(G11))</f>
        <v>-0.33333333333333331</v>
      </c>
      <c r="I12" s="5" cm="1">
        <f t="array" ref="I12">INDEX($B$2:$M$13, COLUMN(H11), ROW(H11))</f>
        <v>-0.45611882530944092</v>
      </c>
      <c r="J12" s="5" cm="1">
        <f t="array" ref="J12">INDEX($B$2:$M$13, COLUMN(I11), ROW(I11))</f>
        <v>-0.31911282313630129</v>
      </c>
      <c r="K12" s="5" cm="1">
        <f t="array" ref="K12">INDEX($B$2:$M$13, COLUMN(J11), ROW(J11))</f>
        <v>-0.31911282313630129</v>
      </c>
      <c r="L12" s="2"/>
      <c r="M12">
        <v>-0.46159181056844312</v>
      </c>
    </row>
    <row r="13" spans="1:20" x14ac:dyDescent="0.2">
      <c r="A13">
        <v>11</v>
      </c>
      <c r="B13" s="5" cm="1">
        <f t="array" ref="B13">INDEX($B$2:$M$13, COLUMN(A12), ROW(A12))</f>
        <v>-0.53271688299999997</v>
      </c>
      <c r="C13" s="5" cm="1">
        <f t="array" ref="C13">INDEX($B$2:$M$13, COLUMN(B12), ROW(B12))</f>
        <v>0.94871716359144431</v>
      </c>
      <c r="D13" s="5" cm="1">
        <f t="array" ref="D13">INDEX($B$2:$M$13, COLUMN(C12), ROW(C12))</f>
        <v>-3.6364654371126022E-2</v>
      </c>
      <c r="E13" s="5" cm="1">
        <f t="array" ref="E13">INDEX($B$2:$M$13, COLUMN(D12), ROW(D12))</f>
        <v>-0.46159181056844312</v>
      </c>
      <c r="F13" s="5" cm="1">
        <f t="array" ref="F13">INDEX($B$2:$M$13, COLUMN(E12), ROW(E12))</f>
        <v>-0.37416950215763012</v>
      </c>
      <c r="G13" s="5" cm="1">
        <f t="array" ref="G13">INDEX($B$2:$M$13, COLUMN(F12), ROW(F12))</f>
        <v>-0.37458298728065398</v>
      </c>
      <c r="H13" s="5" cm="1">
        <f t="array" ref="H13">INDEX($B$2:$M$13, COLUMN(G12), ROW(G12))</f>
        <v>0.95203310929741403</v>
      </c>
      <c r="I13" s="5" cm="1">
        <f t="array" ref="I13">INDEX($B$2:$M$13, COLUMN(H12), ROW(H12))</f>
        <v>-0.51582475030189401</v>
      </c>
      <c r="J13" s="5" cm="1">
        <f t="array" ref="J13">INDEX($B$2:$M$13, COLUMN(I12), ROW(I12))</f>
        <v>0.94962382237510101</v>
      </c>
      <c r="K13" s="5" cm="1">
        <f t="array" ref="K13">INDEX($B$2:$M$13, COLUMN(J12), ROW(J12))</f>
        <v>-3.6364654371126022E-2</v>
      </c>
      <c r="L13" s="5" cm="1">
        <f t="array" ref="L13">INDEX($B$2:$M$13, COLUMN(K12), ROW(K12))</f>
        <v>-0.46159181056844312</v>
      </c>
      <c r="M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708D-B166-5745-9C6D-152DDC697D75}">
  <dimension ref="A1:U17"/>
  <sheetViews>
    <sheetView zoomScale="135" workbookViewId="0">
      <selection activeCell="F10" sqref="F10"/>
    </sheetView>
    <sheetView workbookViewId="1"/>
  </sheetViews>
  <sheetFormatPr baseColWidth="10" defaultRowHeight="15" x14ac:dyDescent="0.2"/>
  <cols>
    <col min="1" max="1" width="15.6640625" customWidth="1"/>
    <col min="2" max="3" width="5.5" customWidth="1"/>
    <col min="4" max="4" width="6.5" customWidth="1"/>
    <col min="5" max="9" width="5.5" customWidth="1"/>
    <col min="10" max="10" width="7.83203125" customWidth="1"/>
    <col min="11" max="11" width="8.1640625" customWidth="1"/>
    <col min="12" max="12" width="7.5" customWidth="1"/>
    <col min="13" max="13" width="6.1640625" customWidth="1"/>
    <col min="15" max="15" width="4.1640625" customWidth="1"/>
    <col min="16" max="16" width="7.1640625" customWidth="1"/>
    <col min="17" max="17" width="6" customWidth="1"/>
    <col min="18" max="18" width="8.5" customWidth="1"/>
    <col min="19" max="19" width="12.33203125" bestFit="1" customWidth="1"/>
    <col min="20" max="20" width="12.1640625" customWidth="1"/>
  </cols>
  <sheetData>
    <row r="1" spans="1:21" ht="35" customHeight="1" x14ac:dyDescent="0.2">
      <c r="A1" s="4" t="s">
        <v>17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P1" s="9">
        <v>0</v>
      </c>
      <c r="Q1" s="9">
        <v>7</v>
      </c>
      <c r="R1" s="6" t="s">
        <v>18</v>
      </c>
      <c r="S1" s="6" t="s">
        <v>20</v>
      </c>
      <c r="T1" s="7" t="s">
        <v>21</v>
      </c>
      <c r="U1" t="s">
        <v>22</v>
      </c>
    </row>
    <row r="2" spans="1:21" x14ac:dyDescent="0.2">
      <c r="A2">
        <v>0</v>
      </c>
      <c r="B2" s="2"/>
      <c r="C2" s="5">
        <v>0.91920608000000004</v>
      </c>
      <c r="D2">
        <v>0.49678226399999997</v>
      </c>
      <c r="E2">
        <v>0.898984279</v>
      </c>
      <c r="F2">
        <v>0.90116766699999995</v>
      </c>
      <c r="G2" s="12">
        <v>0.10209418000000001</v>
      </c>
      <c r="H2">
        <v>0.99999999399999995</v>
      </c>
      <c r="I2" s="12">
        <v>1.97554E-3</v>
      </c>
      <c r="J2">
        <v>0.97847743700000001</v>
      </c>
      <c r="K2">
        <v>0.52980522200000002</v>
      </c>
      <c r="L2">
        <v>0.898984279</v>
      </c>
      <c r="M2" s="10">
        <v>0.75799431799999994</v>
      </c>
      <c r="O2" s="3" t="s">
        <v>0</v>
      </c>
      <c r="P2" cm="1">
        <f t="array" ref="P2">INDEX(PPM!$B$2:$M$5, ROW(A1), MATCH(P$1, PPM!$B$1:$M$1, 0)) + 0.0000000001</f>
        <v>3.1250000100000001E-2</v>
      </c>
      <c r="Q2" cm="1">
        <f t="array" ref="Q2">INDEX(PPM!$B$2:$M$5, ROW(B1), MATCH(Q$1, PPM!$B$1:$M$1, 0)) + 0.0000000001</f>
        <v>1.5625000100000001E-2</v>
      </c>
      <c r="R2" s="5">
        <f>AVERAGE(P2,Q2)</f>
        <v>2.3437500100000001E-2</v>
      </c>
      <c r="S2">
        <f>P2*LOG(P2/$R2, 2)</f>
        <v>1.2969921845877785E-2</v>
      </c>
      <c r="T2">
        <f>Q2*LOG(Q2/$R2, 2)</f>
        <v>-9.1400390841744825E-3</v>
      </c>
      <c r="U2" s="2"/>
    </row>
    <row r="3" spans="1:21" x14ac:dyDescent="0.2">
      <c r="A3">
        <v>1</v>
      </c>
      <c r="B3" s="5" cm="1">
        <f t="array" ref="B3">INDEX($B$2:$M$13, COLUMN(A2), ROW(A2))</f>
        <v>0.91920608000000004</v>
      </c>
      <c r="C3" s="2"/>
      <c r="D3">
        <v>0.94194245777259011</v>
      </c>
      <c r="E3">
        <v>0.86192899489150898</v>
      </c>
      <c r="F3">
        <v>0.63856254918024269</v>
      </c>
      <c r="G3">
        <v>0.57409199933194033</v>
      </c>
      <c r="H3" s="12">
        <v>3.1977288258686877E-2</v>
      </c>
      <c r="I3">
        <v>0.93178139663832171</v>
      </c>
      <c r="J3" s="12">
        <v>1.4122453821440881E-2</v>
      </c>
      <c r="K3">
        <v>0.91659001910793603</v>
      </c>
      <c r="L3">
        <v>0.86192899489150898</v>
      </c>
      <c r="M3" s="12">
        <v>0.1125428549791273</v>
      </c>
      <c r="O3" s="3" t="s">
        <v>1</v>
      </c>
      <c r="P3" cm="1">
        <f t="array" ref="P3">INDEX(PPM!$B$2:$M$5, ROW(A2), MATCH(P$1, PPM!$B$1:$M$1, 0)) + 0.0000000001</f>
        <v>0.25000000010000001</v>
      </c>
      <c r="Q3" cm="1">
        <f t="array" ref="Q3">INDEX(PPM!$B$2:$M$5, ROW(B2), MATCH(Q$1, PPM!$B$1:$M$1, 0)) + 0.0000000001</f>
        <v>0.25000000010000001</v>
      </c>
      <c r="R3" s="5">
        <f t="shared" ref="R3:R5" si="0">AVERAGE(P3,Q3)</f>
        <v>0.25000000010000001</v>
      </c>
      <c r="S3">
        <f t="shared" ref="S3:S5" si="1">P3*LOG(P3/$R3, 2)</f>
        <v>0</v>
      </c>
      <c r="T3">
        <f t="shared" ref="T3:T5" si="2">Q3*LOG(Q3/$R3, 2)</f>
        <v>0</v>
      </c>
      <c r="U3" s="2"/>
    </row>
    <row r="4" spans="1:21" x14ac:dyDescent="0.2">
      <c r="A4">
        <v>2</v>
      </c>
      <c r="B4" s="5" cm="1">
        <f t="array" ref="B4">INDEX($B$2:$M$13, COLUMN(A3), ROW(A3))</f>
        <v>0.49678226399999997</v>
      </c>
      <c r="C4" s="5" cm="1">
        <f t="array" ref="C4">INDEX($B$2:$M$13, COLUMN(B3), ROW(B3))</f>
        <v>0.94194245777259011</v>
      </c>
      <c r="D4" s="2"/>
      <c r="E4">
        <v>0.99999999540183959</v>
      </c>
      <c r="F4">
        <v>0.99999999394659356</v>
      </c>
      <c r="G4">
        <v>0.6189162648366956</v>
      </c>
      <c r="H4">
        <v>0.99999999540183959</v>
      </c>
      <c r="I4">
        <v>0.49654243649162871</v>
      </c>
      <c r="J4">
        <v>0.99999999406987683</v>
      </c>
      <c r="K4" s="12">
        <v>1.56249973338024E-2</v>
      </c>
      <c r="L4">
        <v>0.99999999540183959</v>
      </c>
      <c r="M4">
        <v>0.56961422392004091</v>
      </c>
      <c r="O4" s="3" t="s">
        <v>2</v>
      </c>
      <c r="P4" cm="1">
        <f t="array" ref="P4">INDEX(PPM!$B$2:$M$5, ROW(A3), MATCH(P$1, PPM!$B$1:$M$1, 0)) + 0.0000000001</f>
        <v>0.71875000010000001</v>
      </c>
      <c r="Q4" cm="1">
        <f t="array" ref="Q4">INDEX(PPM!$B$2:$M$5, ROW(B3), MATCH(Q$1, PPM!$B$1:$M$1, 0)) + 0.0000000001</f>
        <v>0.73437500010000001</v>
      </c>
      <c r="R4" s="5">
        <f t="shared" si="0"/>
        <v>0.72656250010000001</v>
      </c>
      <c r="S4">
        <f t="shared" si="1"/>
        <v>-1.1210239567927964E-2</v>
      </c>
      <c r="T4">
        <f t="shared" si="2"/>
        <v>1.1331436043296115E-2</v>
      </c>
      <c r="U4" s="2"/>
    </row>
    <row r="5" spans="1:21" x14ac:dyDescent="0.2">
      <c r="A5">
        <v>3</v>
      </c>
      <c r="B5" s="5" cm="1">
        <f t="array" ref="B5">INDEX($B$2:$M$13, COLUMN(A4), ROW(A4))</f>
        <v>0.898984279</v>
      </c>
      <c r="C5" s="5" cm="1">
        <f t="array" ref="C5">INDEX($B$2:$M$13, COLUMN(B4), ROW(B4))</f>
        <v>0.86192899489150898</v>
      </c>
      <c r="D5" s="5" cm="1">
        <f t="array" ref="D5">INDEX($B$2:$M$13, COLUMN(C4), ROW(C4))</f>
        <v>0.99999999540183959</v>
      </c>
      <c r="E5" s="2"/>
      <c r="F5" s="12">
        <v>4.85386120900336E-2</v>
      </c>
      <c r="G5">
        <v>0.76921846265195981</v>
      </c>
      <c r="H5">
        <v>0.99999999673380247</v>
      </c>
      <c r="I5">
        <v>0.94176634160032413</v>
      </c>
      <c r="J5">
        <v>0.94176634311228846</v>
      </c>
      <c r="K5">
        <v>0.94176634311228846</v>
      </c>
      <c r="L5" s="12">
        <v>0</v>
      </c>
      <c r="M5">
        <v>0.99999999522462346</v>
      </c>
      <c r="O5" s="3" t="s">
        <v>3</v>
      </c>
      <c r="P5" cm="1">
        <f t="array" ref="P5">INDEX(PPM!$B$2:$M$5, ROW(A4), MATCH(P$1, PPM!$B$1:$M$1, 0)) + 0.0000000001</f>
        <v>1E-10</v>
      </c>
      <c r="Q5" cm="1">
        <f t="array" ref="Q5">INDEX(PPM!$B$2:$M$5, ROW(B4), MATCH(Q$1, PPM!$B$1:$M$1, 0)) + 0.0000000001</f>
        <v>1E-10</v>
      </c>
      <c r="R5" s="5">
        <f t="shared" si="0"/>
        <v>1E-10</v>
      </c>
      <c r="S5">
        <f t="shared" si="1"/>
        <v>0</v>
      </c>
      <c r="T5">
        <f t="shared" si="2"/>
        <v>0</v>
      </c>
      <c r="U5" s="2"/>
    </row>
    <row r="6" spans="1:21" x14ac:dyDescent="0.2">
      <c r="A6">
        <v>4</v>
      </c>
      <c r="B6" s="5" cm="1">
        <f t="array" ref="B6">INDEX($B$2:$M$13, COLUMN(A5), ROW(A5))</f>
        <v>0.90116766699999995</v>
      </c>
      <c r="C6" s="5" cm="1">
        <f t="array" ref="C6">INDEX($B$2:$M$13, COLUMN(B5), ROW(B5))</f>
        <v>0.63856254918024269</v>
      </c>
      <c r="D6" s="5" cm="1">
        <f t="array" ref="D6">INDEX($B$2:$M$13, COLUMN(C5), ROW(C5))</f>
        <v>0.99999999394659356</v>
      </c>
      <c r="E6" s="5" cm="1">
        <f t="array" ref="E6">INDEX($B$2:$M$13, COLUMN(D5), ROW(D5))</f>
        <v>4.85386120900336E-2</v>
      </c>
      <c r="F6" s="2"/>
      <c r="G6">
        <v>0.65626350209566597</v>
      </c>
      <c r="H6">
        <v>0.76921846561984752</v>
      </c>
      <c r="I6">
        <v>0.94286685305031814</v>
      </c>
      <c r="J6">
        <v>0.71310297216078933</v>
      </c>
      <c r="K6">
        <v>0.94286685456228247</v>
      </c>
      <c r="L6" s="12">
        <v>4.85386120900336E-2</v>
      </c>
      <c r="M6">
        <v>0.78637322429393663</v>
      </c>
      <c r="R6">
        <f xml:space="preserve"> SUM(R2:R5)</f>
        <v>1.0000000004</v>
      </c>
      <c r="S6" s="3">
        <f>SUM(S2:S5)</f>
        <v>1.7596822779498214E-3</v>
      </c>
      <c r="T6" s="3">
        <f>SUM(T2:T5)</f>
        <v>2.1913969591216328E-3</v>
      </c>
      <c r="U6" s="11">
        <f>0.5*(S6+T6)</f>
        <v>1.9755396185357271E-3</v>
      </c>
    </row>
    <row r="7" spans="1:21" x14ac:dyDescent="0.2">
      <c r="A7">
        <v>5</v>
      </c>
      <c r="B7" s="5" cm="1">
        <f t="array" ref="B7">INDEX($B$2:$M$13, COLUMN(A6), ROW(A6))</f>
        <v>0.10209418000000001</v>
      </c>
      <c r="C7" s="5" cm="1">
        <f t="array" ref="C7">INDEX($B$2:$M$13, COLUMN(B6), ROW(B6))</f>
        <v>0.57409199933194033</v>
      </c>
      <c r="D7" s="5" cm="1">
        <f t="array" ref="D7">INDEX($B$2:$M$13, COLUMN(C6), ROW(C6))</f>
        <v>0.6189162648366956</v>
      </c>
      <c r="E7" s="5" cm="1">
        <f t="array" ref="E7">INDEX($B$2:$M$13, COLUMN(D6), ROW(D6))</f>
        <v>0.76921846265195981</v>
      </c>
      <c r="F7" s="5" cm="1">
        <f t="array" ref="F7">INDEX($B$2:$M$13, COLUMN(E6), ROW(E6))</f>
        <v>0.65626350209566597</v>
      </c>
      <c r="G7" s="2"/>
      <c r="H7">
        <v>0.66968540079695238</v>
      </c>
      <c r="I7">
        <v>0.1137096140315057</v>
      </c>
      <c r="J7">
        <v>0.63897666774550965</v>
      </c>
      <c r="K7">
        <v>0.63897666774550965</v>
      </c>
      <c r="L7">
        <v>0.76921846265195981</v>
      </c>
      <c r="M7">
        <v>0.50773717296655807</v>
      </c>
    </row>
    <row r="8" spans="1:21" x14ac:dyDescent="0.2">
      <c r="A8">
        <v>6</v>
      </c>
      <c r="B8" s="5" cm="1">
        <f t="array" ref="B8">INDEX($B$2:$M$13, COLUMN(A7), ROW(A7))</f>
        <v>0.99999999399999995</v>
      </c>
      <c r="C8" s="5" cm="1">
        <f t="array" ref="C8">INDEX($B$2:$M$13, COLUMN(B7), ROW(B7))</f>
        <v>3.1977288258686877E-2</v>
      </c>
      <c r="D8" s="5" cm="1">
        <f t="array" ref="D8">INDEX($B$2:$M$13, COLUMN(C7), ROW(C7))</f>
        <v>0.99999999540183959</v>
      </c>
      <c r="E8" s="5" cm="1">
        <f t="array" ref="E8">INDEX($B$2:$M$13, COLUMN(D7), ROW(D7))</f>
        <v>0.99999999673380247</v>
      </c>
      <c r="F8" s="5" cm="1">
        <f t="array" ref="F8">INDEX($B$2:$M$13, COLUMN(E7), ROW(E7))</f>
        <v>0.76921846561984752</v>
      </c>
      <c r="G8" s="5" cm="1">
        <f t="array" ref="G8">INDEX($B$2:$M$13, COLUMN(F7), ROW(F7))</f>
        <v>0.66968540079695238</v>
      </c>
      <c r="H8" s="2"/>
      <c r="I8">
        <v>0.99999999388987537</v>
      </c>
      <c r="J8" s="12">
        <v>7.8568733577535563E-3</v>
      </c>
      <c r="K8">
        <v>0.99999999540183959</v>
      </c>
      <c r="L8">
        <v>0.99999999673380247</v>
      </c>
      <c r="M8" s="12">
        <v>0.12844187041346949</v>
      </c>
    </row>
    <row r="9" spans="1:21" x14ac:dyDescent="0.2">
      <c r="A9">
        <v>7</v>
      </c>
      <c r="B9" s="5" cm="1">
        <f t="array" ref="B9">INDEX($B$2:$M$13, COLUMN(A8), ROW(A8))</f>
        <v>1.97554E-3</v>
      </c>
      <c r="C9" s="5" cm="1">
        <f t="array" ref="C9">INDEX($B$2:$M$13, COLUMN(B8), ROW(B8))</f>
        <v>0.93178139663832171</v>
      </c>
      <c r="D9" s="5" cm="1">
        <f t="array" ref="D9">INDEX($B$2:$M$13, COLUMN(C8), ROW(C8))</f>
        <v>0.49654243649162871</v>
      </c>
      <c r="E9" s="5" cm="1">
        <f t="array" ref="E9">INDEX($B$2:$M$13, COLUMN(D8), ROW(D8))</f>
        <v>0.94176634160032413</v>
      </c>
      <c r="F9" s="5" cm="1">
        <f t="array" ref="F9">INDEX($B$2:$M$13, COLUMN(E8), ROW(E8))</f>
        <v>0.94286685305031814</v>
      </c>
      <c r="G9" s="5" cm="1">
        <f t="array" ref="G9">INDEX($B$2:$M$13, COLUMN(F8), ROW(F8))</f>
        <v>0.1137096140315057</v>
      </c>
      <c r="H9" s="5" cm="1">
        <f t="array" ref="H9">INDEX($B$2:$M$13, COLUMN(G8), ROW(G8))</f>
        <v>0.99999999388987537</v>
      </c>
      <c r="I9" s="2"/>
      <c r="J9">
        <v>0.98437499522411021</v>
      </c>
      <c r="K9">
        <v>0.53570278018971706</v>
      </c>
      <c r="L9">
        <v>0.94176634160032413</v>
      </c>
      <c r="M9">
        <v>0.7579943181932155</v>
      </c>
    </row>
    <row r="10" spans="1:21" x14ac:dyDescent="0.2">
      <c r="A10">
        <v>8</v>
      </c>
      <c r="B10" s="5" cm="1">
        <f t="array" ref="B10">INDEX($B$2:$M$13, COLUMN(A9), ROW(A9))</f>
        <v>0.97847743700000001</v>
      </c>
      <c r="C10" s="5" cm="1">
        <f t="array" ref="C10">INDEX($B$2:$M$13, COLUMN(B9), ROW(B9))</f>
        <v>1.4122453821440881E-2</v>
      </c>
      <c r="D10" s="5" cm="1">
        <f t="array" ref="D10">INDEX($B$2:$M$13, COLUMN(C9), ROW(C9))</f>
        <v>0.99999999406987683</v>
      </c>
      <c r="E10" s="5" cm="1">
        <f t="array" ref="E10">INDEX($B$2:$M$13, COLUMN(D9), ROW(D9))</f>
        <v>0.94176634311228846</v>
      </c>
      <c r="F10" s="5" cm="1">
        <f t="array" ref="F10">INDEX($B$2:$M$13, COLUMN(E9), ROW(E9))</f>
        <v>0.71310297216078933</v>
      </c>
      <c r="G10" s="5" cm="1">
        <f t="array" ref="G10">INDEX($B$2:$M$13, COLUMN(F9), ROW(F9))</f>
        <v>0.63897666774550965</v>
      </c>
      <c r="H10" s="5" cm="1">
        <f t="array" ref="H10">INDEX($B$2:$M$13, COLUMN(G9), ROW(G9))</f>
        <v>7.8568733577535563E-3</v>
      </c>
      <c r="I10" s="5" cm="1">
        <f t="array" ref="I10">INDEX($B$2:$M$13, COLUMN(H9), ROW(H9))</f>
        <v>0.98437499522411021</v>
      </c>
      <c r="J10" s="2"/>
      <c r="K10">
        <v>0.98437499673607443</v>
      </c>
      <c r="L10">
        <v>0.94176634311228846</v>
      </c>
      <c r="M10" s="12">
        <v>0.13488801488488661</v>
      </c>
    </row>
    <row r="11" spans="1:21" x14ac:dyDescent="0.2">
      <c r="A11">
        <v>9</v>
      </c>
      <c r="B11" s="5" cm="1">
        <f t="array" ref="B11">INDEX($B$2:$M$13, COLUMN(A10), ROW(A10))</f>
        <v>0.52980522200000002</v>
      </c>
      <c r="C11" s="5" cm="1">
        <f t="array" ref="C11">INDEX($B$2:$M$13, COLUMN(B10), ROW(B10))</f>
        <v>0.91659001910793603</v>
      </c>
      <c r="D11" s="5" cm="1">
        <f t="array" ref="D11">INDEX($B$2:$M$13, COLUMN(C10), ROW(C10))</f>
        <v>1.56249973338024E-2</v>
      </c>
      <c r="E11" s="5" cm="1">
        <f t="array" ref="E11">INDEX($B$2:$M$13, COLUMN(D10), ROW(D10))</f>
        <v>0.94176634311228846</v>
      </c>
      <c r="F11" s="5" cm="1">
        <f t="array" ref="F11">INDEX($B$2:$M$13, COLUMN(E10), ROW(E10))</f>
        <v>0.94286685456228247</v>
      </c>
      <c r="G11" s="5" cm="1">
        <f t="array" ref="G11">INDEX($B$2:$M$13, COLUMN(F10), ROW(F10))</f>
        <v>0.63897666774550965</v>
      </c>
      <c r="H11" s="5" cm="1">
        <f t="array" ref="H11">INDEX($B$2:$M$13, COLUMN(G10), ROW(G10))</f>
        <v>0.99999999540183959</v>
      </c>
      <c r="I11" s="5" cm="1">
        <f t="array" ref="I11">INDEX($B$2:$M$13, COLUMN(H10), ROW(H10))</f>
        <v>0.53570278018971706</v>
      </c>
      <c r="J11" s="5" cm="1">
        <f t="array" ref="J11">INDEX($B$2:$M$13, COLUMN(I10), ROW(I10))</f>
        <v>0.98437499673607443</v>
      </c>
      <c r="K11" s="2"/>
      <c r="L11">
        <v>0.94176634311228846</v>
      </c>
      <c r="M11">
        <v>0.56961422392004091</v>
      </c>
    </row>
    <row r="12" spans="1:21" x14ac:dyDescent="0.2">
      <c r="A12">
        <v>10</v>
      </c>
      <c r="B12" s="5" cm="1">
        <f t="array" ref="B12">INDEX($B$2:$M$13, COLUMN(A11), ROW(A11))</f>
        <v>0.898984279</v>
      </c>
      <c r="C12" s="5" cm="1">
        <f t="array" ref="C12">INDEX($B$2:$M$13, COLUMN(B11), ROW(B11))</f>
        <v>0.86192899489150898</v>
      </c>
      <c r="D12" s="5" cm="1">
        <f t="array" ref="D12">INDEX($B$2:$M$13, COLUMN(C11), ROW(C11))</f>
        <v>0.99999999540183959</v>
      </c>
      <c r="E12" s="5" cm="1">
        <f t="array" ref="E12">INDEX($B$2:$M$13, COLUMN(D11), ROW(D11))</f>
        <v>0</v>
      </c>
      <c r="F12" s="5" cm="1">
        <f t="array" ref="F12">INDEX($B$2:$M$13, COLUMN(E11), ROW(E11))</f>
        <v>4.85386120900336E-2</v>
      </c>
      <c r="G12" s="5" cm="1">
        <f t="array" ref="G12">INDEX($B$2:$M$13, COLUMN(F11), ROW(F11))</f>
        <v>0.76921846265195981</v>
      </c>
      <c r="H12" s="5" cm="1">
        <f t="array" ref="H12">INDEX($B$2:$M$13, COLUMN(G11), ROW(G11))</f>
        <v>0.99999999673380247</v>
      </c>
      <c r="I12" s="5" cm="1">
        <f t="array" ref="I12">INDEX($B$2:$M$13, COLUMN(H11), ROW(H11))</f>
        <v>0.94176634160032413</v>
      </c>
      <c r="J12" s="5" cm="1">
        <f t="array" ref="J12">INDEX($B$2:$M$13, COLUMN(I11), ROW(I11))</f>
        <v>0.94176634311228846</v>
      </c>
      <c r="K12" s="5" cm="1">
        <f t="array" ref="K12">INDEX($B$2:$M$13, COLUMN(J11), ROW(J11))</f>
        <v>0.94176634311228846</v>
      </c>
      <c r="L12" s="2"/>
      <c r="M12">
        <v>0.99999999522462346</v>
      </c>
    </row>
    <row r="13" spans="1:21" x14ac:dyDescent="0.2">
      <c r="A13">
        <v>11</v>
      </c>
      <c r="B13" s="5" cm="1">
        <f t="array" ref="B13">INDEX($B$2:$M$13, COLUMN(A12), ROW(A12))</f>
        <v>0.75799431799999994</v>
      </c>
      <c r="C13" s="5" cm="1">
        <f t="array" ref="C13">INDEX($B$2:$M$13, COLUMN(B12), ROW(B12))</f>
        <v>0.1125428549791273</v>
      </c>
      <c r="D13" s="5" cm="1">
        <f t="array" ref="D13">INDEX($B$2:$M$13, COLUMN(C12), ROW(C12))</f>
        <v>0.56961422392004091</v>
      </c>
      <c r="E13" s="5" cm="1">
        <f t="array" ref="E13">INDEX($B$2:$M$13, COLUMN(D12), ROW(D12))</f>
        <v>0.99999999522462346</v>
      </c>
      <c r="F13" s="5" cm="1">
        <f t="array" ref="F13">INDEX($B$2:$M$13, COLUMN(E12), ROW(E12))</f>
        <v>0.78637322429393663</v>
      </c>
      <c r="G13" s="5" cm="1">
        <f t="array" ref="G13">INDEX($B$2:$M$13, COLUMN(F12), ROW(F12))</f>
        <v>0.50773717296655807</v>
      </c>
      <c r="H13" s="5" cm="1">
        <f t="array" ref="H13">INDEX($B$2:$M$13, COLUMN(G12), ROW(G12))</f>
        <v>0.12844187041346949</v>
      </c>
      <c r="I13" s="5" cm="1">
        <f t="array" ref="I13">INDEX($B$2:$M$13, COLUMN(H12), ROW(H12))</f>
        <v>0.7579943181932155</v>
      </c>
      <c r="J13" s="5" cm="1">
        <f t="array" ref="J13">INDEX($B$2:$M$13, COLUMN(I12), ROW(I12))</f>
        <v>0.13488801488488661</v>
      </c>
      <c r="K13" s="5" cm="1">
        <f t="array" ref="K13">INDEX($B$2:$M$13, COLUMN(J12), ROW(J12))</f>
        <v>0.56961422392004091</v>
      </c>
      <c r="L13" s="5" cm="1">
        <f t="array" ref="L13">INDEX($B$2:$M$13, COLUMN(K12), ROW(K12))</f>
        <v>0.99999999522462346</v>
      </c>
      <c r="M13" s="2"/>
    </row>
    <row r="16" spans="1:21" x14ac:dyDescent="0.2">
      <c r="A16" s="14"/>
    </row>
    <row r="17" spans="4:4" x14ac:dyDescent="0.2">
      <c r="D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PPM</vt:lpstr>
      <vt:lpstr>KL</vt:lpstr>
      <vt:lpstr>Information Content</vt:lpstr>
      <vt:lpstr>Pearson Correlation</vt:lpstr>
      <vt:lpstr>JSD</vt:lpstr>
      <vt:lpstr>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2026-03-07T15:33:33Z</dcterms:created>
  <dcterms:modified xsi:type="dcterms:W3CDTF">2026-03-25T12:43:41Z</dcterms:modified>
</cp:coreProperties>
</file>